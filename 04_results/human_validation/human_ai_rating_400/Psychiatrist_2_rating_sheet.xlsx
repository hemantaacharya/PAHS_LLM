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1" t="inlineStr">
        <is>
          <t>#</t>
        </is>
      </c>
      <c r="B1" s="1" t="inlineStr">
        <is>
          <t>Case ID</t>
        </is>
      </c>
      <c r="C1" s="1" t="inlineStr">
        <is>
          <t>Length</t>
        </is>
      </c>
      <c r="D1" s="1" t="inlineStr">
        <is>
          <t>Diagnosis</t>
        </is>
      </c>
      <c r="E1" s="1" t="inlineStr">
        <is>
          <t>Presentation</t>
        </is>
      </c>
      <c r="F1" s="1" t="inlineStr">
        <is>
          <t>Management</t>
        </is>
      </c>
      <c r="G1" s="1" t="inlineStr">
        <is>
          <t>Fabricated Term</t>
        </is>
      </c>
      <c r="H1" s="1" t="inlineStr">
        <is>
          <t>Hallucination</t>
        </is>
      </c>
      <c r="I1" s="1" t="inlineStr">
        <is>
          <t>Notes</t>
        </is>
      </c>
    </row>
    <row r="2" ht="80" customHeight="1"/>
    <row r="3" ht="80" customHeight="1">
      <c r="A3" s="2" t="n">
        <v>29</v>
      </c>
      <c r="B3" s="2" t="inlineStr">
        <is>
          <t>batch1_50__38</t>
        </is>
      </c>
      <c r="C3" s="2" t="inlineStr">
        <is>
          <t>short</t>
        </is>
      </c>
      <c r="D3" s="3" t="inlineStr">
        <is>
          <t>Alcohol Use Disorder with Alcohol Withdrawal Syndrome and Withdrawal-Related Seizures</t>
        </is>
      </c>
      <c r="E3" s="3"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F3" s="3"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G3" s="2" t="inlineStr">
        <is>
          <t>clinical stability maintenance ratio</t>
        </is>
      </c>
      <c r="H3" s="4" t="inlineStr"/>
      <c r="I3" s="5" t="inlineStr"/>
    </row>
    <row r="4" ht="80" customHeight="1">
      <c r="A4" s="2" t="n">
        <v>54</v>
      </c>
      <c r="B4" s="2" t="inlineStr">
        <is>
          <t>batch1_50__3</t>
        </is>
      </c>
      <c r="C4" s="2" t="inlineStr">
        <is>
          <t>long</t>
        </is>
      </c>
      <c r="D4" s="6" t="inlineStr">
        <is>
          <t>Schizophrenia</t>
        </is>
      </c>
      <c r="E4" s="6" t="inlineStr">
        <is>
          <t>20-year-old male with 3-month history of persecutory/referential delusions, third-person auditory hallucinations, and thought insertion. Currently on Clozapine, Clobazam, Propranolol, and Pantoprazole.</t>
        </is>
      </c>
      <c r="F4" s="6" t="inlineStr">
        <is>
          <t>Management:
- Conduct a comprehensive mental status examination (MSE) to assess current symptom severity and cognitive functioning.
- Perform a thorough medication review, including assessment of Clozapine serum levels and monitoring for adverse effects (e.g., agranulocytosis, myocarditis, metabolic syndrome).
- Verify the nature of 'Psychapril' as it is not a recognized psychiatric medication; investigate potential medication errors or patient misunderstanding.
- Assess functional impairment and social/occupational history.
- Monitor for treatment adherence and evaluate the efficacy of the current antipsychotic regimen.</t>
        </is>
      </c>
      <c r="G4" s="2" t="inlineStr">
        <is>
          <t>Psychapril</t>
        </is>
      </c>
      <c r="H4" s="4" t="inlineStr"/>
      <c r="I4" s="5" t="inlineStr"/>
    </row>
    <row r="5" ht="80" customHeight="1">
      <c r="A5" s="2" t="n">
        <v>138</v>
      </c>
      <c r="B5" s="2" t="inlineStr">
        <is>
          <t>batch4a_50__1</t>
        </is>
      </c>
      <c r="C5" s="2" t="inlineStr">
        <is>
          <t>long</t>
        </is>
      </c>
      <c r="D5" s="3" t="inlineStr">
        <is>
          <t>Alcohol Use Disorder, Severe, with Complicated Withdrawal and Possible Hepatic Encephalopathy</t>
        </is>
      </c>
      <c r="E5" s="3"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F5" s="3"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G5" s="2" t="inlineStr">
        <is>
          <t>affective instability signature</t>
        </is>
      </c>
      <c r="H5" s="4" t="inlineStr"/>
      <c r="I5" s="5" t="inlineStr"/>
    </row>
    <row r="6" ht="80" customHeight="1">
      <c r="A6" s="2" t="n">
        <v>65</v>
      </c>
      <c r="B6" s="2" t="inlineStr">
        <is>
          <t>batch3a_50__46</t>
        </is>
      </c>
      <c r="C6" s="2" t="inlineStr">
        <is>
          <t>short</t>
        </is>
      </c>
      <c r="D6" s="6" t="inlineStr">
        <is>
          <t>Schizophrenia</t>
        </is>
      </c>
      <c r="E6" s="6" t="inlineStr">
        <is>
          <t>15-year-old male presenting with auditory hallucinations, delusions of persecution, and associated symptoms including muttering to self, negativism, and decreased food intake.</t>
        </is>
      </c>
      <c r="F6" s="6" t="inlineStr">
        <is>
          <t>Management:
- Initiate antipsychotic medication
-  Counsel patient and family on importance of adherence to treatment
- Monitor for side effects and adjust treatment as needed
- Consider cognitive-behavioral therapy to address negative symptoms</t>
        </is>
      </c>
      <c r="G6" s="2" t="inlineStr">
        <is>
          <t>serotonin transporter function assay</t>
        </is>
      </c>
      <c r="H6" s="4" t="inlineStr"/>
      <c r="I6" s="5" t="inlineStr"/>
    </row>
    <row r="7" ht="80" customHeight="1">
      <c r="A7" s="2" t="n">
        <v>91</v>
      </c>
      <c r="B7" s="2" t="inlineStr">
        <is>
          <t>batch1_50__10</t>
        </is>
      </c>
      <c r="C7" s="2" t="inlineStr">
        <is>
          <t>short</t>
        </is>
      </c>
      <c r="D7" s="3" t="inlineStr">
        <is>
          <t>Delirium Tremens (Alcohol Withdrawal Delirium) secondary to Severe Alcohol Use Disorder</t>
        </is>
      </c>
      <c r="E7" s="3" t="inlineStr">
        <is>
          <t>43-year-old male presenting with acute delirium, tremors, and perceptual disturbances occurring 3 days after cessation of chronic, heavy alcohol use, consistent with delirium tremens. Patient also has a documented history of severe Alcohol Use Disorder.</t>
        </is>
      </c>
      <c r="F7" s="3" t="inlineStr">
        <is>
          <t>Management:
- Immediate medical stabilization and inpatient admission (ICU or high-acuity unit) for Delirium Tremens.
- Continue and titrate benzodiazepine therapy (e.g., Lorazepam) according to CIWA-Ar protocol for withdrawal symptom management.
- Ensure aggressive electrolyte replacement and IV hydration.
- Continue Thiamine (parenteral preferred) to prevent or treat Wernicke's encephalopathy.
- Defer behavioral activation protocol until patient is medically stable and delirium has resolved.
- Re-evaluate Acamprosate therapy once acute withdrawal phase has stabilized.</t>
        </is>
      </c>
      <c r="G7" s="2" t="inlineStr">
        <is>
          <t>behavioral activation protocol</t>
        </is>
      </c>
      <c r="H7" s="4" t="inlineStr"/>
      <c r="I7" s="5" t="inlineStr"/>
    </row>
    <row r="8" ht="80" customHeight="1">
      <c r="A8" s="2" t="n">
        <v>243</v>
      </c>
      <c r="B8" s="2" t="inlineStr">
        <is>
          <t>batch2a_50__35</t>
        </is>
      </c>
      <c r="C8" s="2" t="inlineStr">
        <is>
          <t>long</t>
        </is>
      </c>
      <c r="D8" s="6" t="inlineStr">
        <is>
          <t>Major Depressive Disorder, recurrent, current episode severe, without psychotic features, with active suicidal behavior</t>
        </is>
      </c>
      <c r="E8" s="6"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F8" s="6"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G8" s="2" t="inlineStr">
        <is>
          <t>behavioral dyscontrol threshold gradient</t>
        </is>
      </c>
      <c r="H8" s="4" t="inlineStr"/>
      <c r="I8" s="5" t="inlineStr"/>
    </row>
    <row r="9" ht="80" customHeight="1">
      <c r="A9" s="2" t="n">
        <v>236</v>
      </c>
      <c r="B9" s="2" t="inlineStr">
        <is>
          <t>batch2a_50__47</t>
        </is>
      </c>
      <c r="C9" s="2" t="inlineStr">
        <is>
          <t>short</t>
        </is>
      </c>
      <c r="D9" s="3" t="inlineStr">
        <is>
          <t>Schizophrenia</t>
        </is>
      </c>
      <c r="E9" s="3" t="inlineStr">
        <is>
          <t>A 20-year-old male presents with symptoms including 2nd person auditory hallucinations, delusions of persecution, disinhibited behavior, irritability, unprovoked anger, and fearfulness, with an executive dysfunction pattern.</t>
        </is>
      </c>
      <c r="F9" s="3" t="inlineStr">
        <is>
          <t>Management:
- Continue treatment with Tab Clozapine and Tab Haloperidol as prescribed.
- Monitor symptoms and adjust treatment plan as necessary.
- Consider cognitive-behavioral therapy to address executive dysfunction and other symptoms.
- Regular follow-up appointments with a psychiatrist to assess treatment effectiveness and make any necessary adjustments.</t>
        </is>
      </c>
      <c r="G9" s="2" t="inlineStr">
        <is>
          <t>executive dysfunction pattern</t>
        </is>
      </c>
      <c r="H9" s="4" t="inlineStr"/>
      <c r="I9" s="5" t="inlineStr"/>
    </row>
    <row r="10" ht="80" customHeight="1">
      <c r="A10" s="2" t="n">
        <v>203</v>
      </c>
      <c r="B10" s="2" t="inlineStr">
        <is>
          <t>batch3a_50__44</t>
        </is>
      </c>
      <c r="C10" s="2" t="inlineStr">
        <is>
          <t>long</t>
        </is>
      </c>
      <c r="D10" s="6" t="inlineStr">
        <is>
          <t>Borderline Personality Disorder (BPD) with comorbid Mood Disorder and Borderline Intellectual Functioning</t>
        </is>
      </c>
      <c r="E10" s="6" t="inlineStr">
        <is>
          <t>22-year-old male with a 5-year history of chronic mood dysregulation, recurrent suicidal ideation, self-harm, and aggressive behavior, complicated by borderline intellectual functioning and a history of medication-induced adverse reactions.</t>
        </is>
      </c>
      <c r="F10" s="6" t="inlineStr">
        <is>
          <t>Management:
- Conduct a comprehensive suicide risk assessment and implement a safety plan.
- Review current polypharmacy (Venlafaxine, Divalproex, Olanzapine, Clonazepam) to assess for therapeutic efficacy, side-effect burden, and potential drug-drug interactions.
- Perform a formal neuropsychological evaluation to clarify the extent of borderline intellectual functioning and its impact on treatment adherence and coping mechanisms.
- Initiate or optimize evidence-based psychotherapy, such as Dialectical Behavior Therapy (DBT), focusing on emotional regulation and distress tolerance.
- Evaluate the family dynamic and consider family-based interventions to address the reported interpersonal stressors.
- Monitor for any recurrence of dermatological reactions given the history of Oxcarbazepine-induced rash.</t>
        </is>
      </c>
      <c r="G10" s="2" t="inlineStr">
        <is>
          <t>affective instability cascade</t>
        </is>
      </c>
      <c r="H10" s="4" t="inlineStr"/>
      <c r="I10" s="5" t="inlineStr"/>
    </row>
    <row r="11" ht="80" customHeight="1">
      <c r="A11" s="2" t="n">
        <v>326</v>
      </c>
      <c r="B11" s="2" t="inlineStr">
        <is>
          <t>batch1_50__1</t>
        </is>
      </c>
      <c r="C11" s="2" t="inlineStr">
        <is>
          <t>short</t>
        </is>
      </c>
      <c r="D11" s="3" t="inlineStr">
        <is>
          <t>Alcohol withdrawal delirium (delirium tremens) with alcohol-withdrawal seizures</t>
        </is>
      </c>
      <c r="E11" s="3"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F11" s="3"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G11" s="2" t="inlineStr">
        <is>
          <t>care coordination continuity score</t>
        </is>
      </c>
      <c r="H11" s="4" t="inlineStr"/>
      <c r="I11" s="5" t="inlineStr"/>
    </row>
    <row r="12" ht="80" customHeight="1">
      <c r="A12" s="2" t="n">
        <v>369</v>
      </c>
      <c r="B12" s="2" t="inlineStr">
        <is>
          <t>batch3a_50__16</t>
        </is>
      </c>
      <c r="C12" s="2" t="inlineStr">
        <is>
          <t>long</t>
        </is>
      </c>
      <c r="D12" s="6" t="inlineStr">
        <is>
          <t>Borderline Personality Disorder</t>
        </is>
      </c>
      <c r="E12" s="6" t="inlineStr">
        <is>
          <t>22-year-old woman with a 10-year insidious pattern of affective instability, frequent mood swings, anger dysregulation, unstable relationships, chronic fear of abandonment, recurrent self-harm/suicidal thoughts, and impulsive behaviors (shopping and binge eating), consistent with a longstanding personality-pattern disorder rather than an episodic mood disorder.</t>
        </is>
      </c>
      <c r="F12" s="6" t="inlineStr">
        <is>
          <t>Management:
- Perform an immediate suicide/self-harm risk assessment and determine need for urgent higher level of care if intent, plan, or inability to maintain safety is present.
- Develop a collaborative safety plan and restrict access to lethal means.
- Refer for evidence-based psychotherapy for borderline personality disorder, especially dialectical behavior therapy (DBT).
- Review the indication for lithium, assess adherence, and monitor serum lithium level, renal function, and thyroid function if it is being continued.
- Assess for comorbid mood, anxiety, trauma-related, and eating disorders, and treat any confirmed comorbidities.
- Provide psychoeducation on emotion regulation, impulsivity, interpersonal instability, and crisis coping strategies.</t>
        </is>
      </c>
      <c r="G12" s="2" t="inlineStr">
        <is>
          <t>self-harm impulse control index</t>
        </is>
      </c>
      <c r="H12" s="4" t="inlineStr"/>
      <c r="I12" s="5" t="inlineStr"/>
    </row>
    <row r="13" ht="80" customHeight="1">
      <c r="A13" s="2" t="n">
        <v>376</v>
      </c>
      <c r="B13" s="2" t="inlineStr">
        <is>
          <t>batch3a_50__7</t>
        </is>
      </c>
      <c r="C13" s="2" t="inlineStr">
        <is>
          <t>short</t>
        </is>
      </c>
      <c r="D13" s="3" t="inlineStr">
        <is>
          <t>Bipolar I Disorder, Most Recent Episode Manic</t>
        </is>
      </c>
      <c r="E13" s="3"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F13" s="3"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G13" s="2" t="inlineStr">
        <is>
          <t>cognitive-affective symptom severity metric</t>
        </is>
      </c>
      <c r="H13" s="4" t="inlineStr"/>
      <c r="I13" s="5" t="inlineStr"/>
    </row>
    <row r="14" ht="80" customHeight="1">
      <c r="A14" s="2" t="n">
        <v>241</v>
      </c>
      <c r="B14" s="2" t="inlineStr">
        <is>
          <t>batch4a_50__14</t>
        </is>
      </c>
      <c r="C14" s="2" t="inlineStr">
        <is>
          <t>short</t>
        </is>
      </c>
      <c r="D14" s="6" t="inlineStr">
        <is>
          <t>Schizophrenia (paranoid/persecutory presentation) with comorbid cannabis use disorder, likely worsening psychosis and relapse risk.</t>
        </is>
      </c>
      <c r="E14" s="6"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F14" s="6"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G14" s="2" t="inlineStr">
        <is>
          <t>relapse prediction modeling profile</t>
        </is>
      </c>
      <c r="H14" s="4" t="inlineStr"/>
      <c r="I14" s="5" t="inlineStr"/>
    </row>
    <row r="15" ht="80" customHeight="1">
      <c r="A15" s="2" t="n">
        <v>313</v>
      </c>
      <c r="B15" s="2" t="inlineStr">
        <is>
          <t>batch1_50__18</t>
        </is>
      </c>
      <c r="C15" s="2" t="inlineStr">
        <is>
          <t>short</t>
        </is>
      </c>
      <c r="D15" s="3" t="inlineStr">
        <is>
          <t>Neuroleptic Malignant Syndrome (NMS) vs. Acute Medical Complication of Chronic Psychotropic Use (Differential includes Normal Pressure Hydrocephalus given the triad)</t>
        </is>
      </c>
      <c r="E15" s="3" t="inlineStr">
        <is>
          <t>61-year-old male with long-standing schizophrenia presents with acute onset (5 days) of shuffling gait, urinary incontinence, falls, fever, agitation, autonomic instability, and muscle rigidity in the context of long-term polypharmacy.</t>
        </is>
      </c>
      <c r="F15" s="3" t="inlineStr">
        <is>
          <t>Management:
- Immediate discontinuation of all potential offending psychotropic agents (e.g., antipsychotics).
- Transfer to an acute medical/intensive care setting for stabilization.
- Aggressive fluid resuscitation and cooling measures for hyperthermia.
- Evaluation for Neuroleptic Malignant Syndrome (NMS) versus other causes of acute rigidity and autonomic instability.
- Perform urgent neuroimaging (e.g., MRI) to rule out structural causes like normal pressure hydrocephalus given the triad of gait disturbance, incontinence, and falls.
- Monitor creatinine kinase (CK) levels, renal function, and electrolytes.
- Consider administration of dantrolene or bromocriptine under specialized supervision if NMS is confirmed.</t>
        </is>
      </c>
      <c r="G15" s="2" t="inlineStr">
        <is>
          <t>Vexaprol</t>
        </is>
      </c>
      <c r="H15" s="4" t="inlineStr"/>
      <c r="I15" s="5" t="inlineStr"/>
    </row>
    <row r="16" ht="80" customHeight="1">
      <c r="A16" s="2" t="n">
        <v>363</v>
      </c>
      <c r="B16" s="2" t="inlineStr">
        <is>
          <t>batch2b_50__39</t>
        </is>
      </c>
      <c r="C16" s="2" t="inlineStr">
        <is>
          <t>short</t>
        </is>
      </c>
      <c r="D16" s="6" t="inlineStr">
        <is>
          <t>Disruptive Mood Dysregulation Disorder (DMDD) with comorbidities of developmental delay and learning difficulties</t>
        </is>
      </c>
      <c r="E16" s="6" t="inlineStr">
        <is>
          <t>A 16-year-old male presents with symptoms such as an irritable mood, anger outbursts, and refusal to cooperate, which have lasted for 2 months and began in childhood. Additionally, he experiences developmental delay, learning difficulties at school, and significant socio-occupational dysfunction, and he is currently being treated with olanzapine and fluoxetine. Functional assessment highlighted vocational readiness variability metric.</t>
        </is>
      </c>
      <c r="F16" s="6" t="inlineStr">
        <is>
          <t>Management:
- Continue olanzapine and fluoxetine as prescribed
- Refer to a developmental pediatrician for further evaluation of developmental delay and learning difficulties
- Consider cognitive-behavioral therapy (CBT) to address socio-occupational dysfunction
- Monitor for potential side effects of medications and adjust treatment plan as needed</t>
        </is>
      </c>
      <c r="G16" s="2" t="inlineStr">
        <is>
          <t>vocational readiness variability metric</t>
        </is>
      </c>
      <c r="H16" s="4" t="inlineStr"/>
      <c r="I16" s="5" t="inlineStr"/>
    </row>
    <row r="17" ht="80" customHeight="1">
      <c r="A17" s="2" t="n">
        <v>349</v>
      </c>
      <c r="B17" s="2" t="inlineStr">
        <is>
          <t>batch2a_50__50</t>
        </is>
      </c>
      <c r="C17" s="2" t="inlineStr">
        <is>
          <t>long</t>
        </is>
      </c>
      <c r="D17" s="3" t="inlineStr">
        <is>
          <t>Disruptive Mood Dysregulation Disorder (DMDD) or Oppositional Defiant Disorder (ODD)</t>
        </is>
      </c>
      <c r="E17" s="3" t="inlineStr">
        <is>
          <t>A 16-year-old female with a 16-year history of symptoms including irritability, frequent anger outbursts, difficulty controlling her anger, stubbornness, and self-harm behavior, along with a refusal to attend school, impulsive smoking habit, and excessive use of electronic gadgets, further complicated by bullying from friends.</t>
        </is>
      </c>
      <c r="F17" s="3" t="inlineStr">
        <is>
          <t>Management:
- Continue treatment with Fluoxetine and Lorazepam as prescribed
- Monitor for any changes in symptoms or behavior
- Consider adding behavioral therapy to address impulsivity and anger management
- Encourage healthy coping mechanisms and stress-reducing activities
- Regularly review and adjust treatment plan as needed</t>
        </is>
      </c>
      <c r="G17" s="2" t="inlineStr">
        <is>
          <t>risk escalation velocity score</t>
        </is>
      </c>
      <c r="H17" s="4" t="inlineStr"/>
      <c r="I17" s="5" t="inlineStr"/>
    </row>
    <row r="18" ht="80" customHeight="1">
      <c r="A18" s="2" t="n">
        <v>314</v>
      </c>
      <c r="B18" s="2" t="inlineStr">
        <is>
          <t>batch2b_50__5</t>
        </is>
      </c>
      <c r="C18" s="2" t="inlineStr">
        <is>
          <t>long</t>
        </is>
      </c>
      <c r="D18" s="6" t="inlineStr">
        <is>
          <t>Schizoaffective Disorder (Bipolar Type) or Bipolar I Disorder with Psychotic Features</t>
        </is>
      </c>
      <c r="E18" s="6" t="inlineStr">
        <is>
          <t>A 32-year-old male presenting with chronic symptoms including persecutory, referential, and grandiose delusions, along with affective symptoms of decreased sleep, pressured speech, irritability, and overfamiliarity. Current management involves electroconvulsive therapy (ECT) and a regimen of sodium valproate, olanzapine, and lorazepam. Duration of symptoms is 1.5 years with a 3-year history of episodic presentations.</t>
        </is>
      </c>
      <c r="F18" s="6" t="inlineStr">
        <is>
          <t>Management:
- Continue multidisciplinary monitoring of response to current ECT and pharmacological regimen (sodium valproate, olanzapine, lorazepam).
- Conduct a comprehensive longitudinal diagnostic assessment to differentiate between Schizoaffective Disorder, Bipolar I Disorder with psychotic features, and Schizophrenia.
- Monitor for side effects associated with the current polypharmacy regimen.
- Assess safety and risk of harm given the nature of the delusions.
- Facilitate close coordination between the inpatient/outpatient psychiatric team and the ECT team.</t>
        </is>
      </c>
      <c r="G18" s="2" t="inlineStr">
        <is>
          <t>behavioral inhibition scale variant</t>
        </is>
      </c>
      <c r="H18" s="4" t="inlineStr"/>
      <c r="I18" s="5" t="inlineStr"/>
    </row>
    <row r="19" ht="80" customHeight="1">
      <c r="A19" s="2" t="n">
        <v>267</v>
      </c>
      <c r="B19" s="2" t="inlineStr">
        <is>
          <t>batch2a_50__15</t>
        </is>
      </c>
      <c r="C19" s="2" t="inlineStr">
        <is>
          <t>short</t>
        </is>
      </c>
      <c r="D19" s="3" t="inlineStr">
        <is>
          <t>Borderline Personality Disorder (BPD)</t>
        </is>
      </c>
      <c r="E19" s="3" t="inlineStr">
        <is>
          <t>20-year-old female with a 6-year history of emotional dysregulation, including mood swings, anger, fear of abandonment, chronic emptiness, self-harm, and substance use impulsivity. Currently on polypharmacy (Fluoxetine, Oxcarbazepine, Olanzapine, Clonazepam).</t>
        </is>
      </c>
      <c r="F19" s="3" t="inlineStr">
        <is>
          <t>Management:
- Conduct a comprehensive diagnostic interview using a structured tool (e.g., SCID-5-PD) to confirm Borderline Personality Disorder.
- Perform a thorough medication reconciliation and review the rationale for current polypharmacy, specifically assessing the necessity of benzodiazepines (Clonazepam) given the history of substance use.
- Initiate evidence-based psychotherapy, such as Dialectical Behavior Therapy (DBT), as the primary treatment modality.
- Develop a formal safety plan and assess current suicide/self-harm risk.
- Monitor for metabolic side effects and movement disorders associated with long-term Olanzapine use.</t>
        </is>
      </c>
      <c r="G19" s="2" t="inlineStr">
        <is>
          <t>behavioral reactivity signature</t>
        </is>
      </c>
      <c r="H19" s="4" t="inlineStr"/>
      <c r="I19" s="5" t="inlineStr"/>
    </row>
    <row r="20" ht="80" customHeight="1">
      <c r="A20" s="2" t="n">
        <v>310</v>
      </c>
      <c r="B20" s="2" t="inlineStr">
        <is>
          <t>batch1_50__34</t>
        </is>
      </c>
      <c r="C20" s="2" t="inlineStr">
        <is>
          <t>long</t>
        </is>
      </c>
      <c r="D20" s="6" t="inlineStr">
        <is>
          <t>Panic Disorder with Agoraphobia (most likely given core symptomatology); differential includes Acute Anxiety Disorder, Generalized Anxiety Disorder, or emerging Psychotic Disorder given antipsychotic use and psychotic breakthrough index notation.</t>
        </is>
      </c>
      <c r="E20" s="6"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F20" s="6"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G20" s="2" t="inlineStr">
        <is>
          <t>psychotic breakthrough probability index</t>
        </is>
      </c>
      <c r="H20" s="4" t="inlineStr"/>
      <c r="I20" s="5" t="inlineStr"/>
    </row>
    <row r="21" ht="80" customHeight="1">
      <c r="A21" s="2" t="n">
        <v>107</v>
      </c>
      <c r="B21" s="2" t="inlineStr">
        <is>
          <t>batch2a_50__17</t>
        </is>
      </c>
      <c r="C21" s="2" t="inlineStr">
        <is>
          <t>long</t>
        </is>
      </c>
      <c r="D21" s="3" t="inlineStr">
        <is>
          <t>Delirium, likely multifactorial and secondary to an underlying medical condition</t>
        </is>
      </c>
      <c r="E21" s="3" t="inlineStr">
        <is>
          <t>A 98-year-old patient has an abrupt 2-day history of fluctuating orientation, disturbed sleep, psychomotor agitation, irritability, and hallucination-like behavior, suggesting an acute confusional state in the setting of multiple medical comorbidities.</t>
        </is>
      </c>
      <c r="F21" s="3"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G21" s="2" t="inlineStr">
        <is>
          <t>interoceptive awareness modulation index</t>
        </is>
      </c>
      <c r="H21" s="4" t="inlineStr"/>
      <c r="I21" s="5" t="inlineStr"/>
    </row>
    <row r="22" ht="80" customHeight="1">
      <c r="A22" s="2" t="n">
        <v>394</v>
      </c>
      <c r="B22" s="2" t="inlineStr">
        <is>
          <t>batch4a_50__33</t>
        </is>
      </c>
      <c r="C22" s="2" t="inlineStr">
        <is>
          <t>short</t>
        </is>
      </c>
      <c r="D22" s="6" t="inlineStr">
        <is>
          <t>Borderline Personality Disorder (Emotionally Unstable Personality Disorder, borderline pattern), with comorbid gambling disorder and substance use disorders (alcohol and nicotine)</t>
        </is>
      </c>
      <c r="E22" s="6" t="inlineStr">
        <is>
          <t>32-year-old man with a long-standing, insidious pattern of affective lability triggered by minor stressors, anger dyscontrol, unstable interpersonal relationships, and impulsive behavior, with comorbid persistent online gambling and harmful alcohol and nicotine use. Currently treated with oxcarbazepine; care planning involved a Primary Care Liaison Pathway.</t>
        </is>
      </c>
      <c r="F22" s="6" t="inlineStr">
        <is>
          <t>Management:
- Confirm full personality disorder assessment, including chronicity, pervasiveness, and exclusion of bipolar spectrum disorder or neurodevelopmental causes.
- Assess suicide risk, self-harm history, violence risk, and current safeguarding concerns.
- Prioritize structured psychotherapy for borderline personality disorder (e.g., DBT or another evidence-based personality disorder treatment).
- Treat comorbid gambling disorder with targeted psychosocial intervention and consider referral to addiction services.
- Address alcohol and nicotine use with brief intervention, motivational work, and substance-use treatment as indicated.
- Review oxcarbazepine for benefit, adverse effects, and indication; avoid medication-only treatment as primary management of personality disorder.
- Coordinate care through primary care liaison / integrated mental health-addiction services with a consistent treatment plan and boundaries.</t>
        </is>
      </c>
      <c r="G22" s="2" t="inlineStr">
        <is>
          <t>Primary Care Liaison Pathway</t>
        </is>
      </c>
      <c r="H22" s="4" t="inlineStr"/>
      <c r="I22" s="5" t="inlineStr"/>
    </row>
    <row r="23" ht="80" customHeight="1">
      <c r="A23" s="2" t="n">
        <v>266</v>
      </c>
      <c r="B23" s="2" t="inlineStr">
        <is>
          <t>batch3b_50__34</t>
        </is>
      </c>
      <c r="C23" s="2" t="inlineStr">
        <is>
          <t>long</t>
        </is>
      </c>
      <c r="D23" s="3" t="inlineStr">
        <is>
          <t>Schizophrenia, First Episode Psychosis</t>
        </is>
      </c>
      <c r="E23" s="3"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F23" s="3"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G23" s="2" t="inlineStr">
        <is>
          <t>Self-Harm Volatility Indicator</t>
        </is>
      </c>
      <c r="H23" s="4" t="inlineStr"/>
      <c r="I23" s="5" t="inlineStr"/>
    </row>
    <row r="24" ht="80" customHeight="1">
      <c r="A24" s="2" t="n">
        <v>42</v>
      </c>
      <c r="B24" s="2" t="inlineStr">
        <is>
          <t>batch2a_50__19</t>
        </is>
      </c>
      <c r="C24" s="2" t="inlineStr">
        <is>
          <t>short</t>
        </is>
      </c>
      <c r="D24" s="6" t="inlineStr">
        <is>
          <t>Bipolar I disorder, current manic episode</t>
        </is>
      </c>
      <c r="E24" s="6" t="inlineStr">
        <is>
          <t>42-year-old woman with a recurrent manic syndrome marked by decreased need for sleep, irritability, aggressive/physically aggressive behavior, and a 7-day onset; history suggests prior similar episodes and current treatment with lithium plus an antipsychotic.</t>
        </is>
      </c>
      <c r="F24" s="6" t="inlineStr">
        <is>
          <t>Management:
- Assess immediate risk of harm to self/others; consider urgent/inpatient psychiatric evaluation if aggression is ongoing.
- Confirm medication adherence and obtain serum lithium level; also check renal function, thyroid function, electrolytes, and pregnancy status if clinically relevant.
- Review the antipsychotic regimen and correct any medication naming/prescribing errors.
- Treat acute mania with optimization of mood stabilizer and/or antipsychotic therapy per local guidelines.
- Ensure sleep restoration, reduce stimulation, and involve family/caregivers for collateral history and safety planning.</t>
        </is>
      </c>
      <c r="G24" s="2" t="inlineStr">
        <is>
          <t>stress-induced arousal spike</t>
        </is>
      </c>
      <c r="H24" s="4" t="inlineStr"/>
      <c r="I24" s="5" t="inlineStr"/>
    </row>
    <row r="25" ht="80" customHeight="1">
      <c r="A25" s="2" t="n">
        <v>24</v>
      </c>
      <c r="B25" s="2" t="inlineStr">
        <is>
          <t>batch2a_50__39</t>
        </is>
      </c>
      <c r="C25" s="2" t="inlineStr">
        <is>
          <t>short</t>
        </is>
      </c>
      <c r="D25" s="3" t="inlineStr">
        <is>
          <t>Schizophrenia</t>
        </is>
      </c>
      <c r="E25" s="3" t="inlineStr">
        <is>
          <t>27-year-old female with an 8-year history of persecutory delusions (suspiciousness of others harming her), wandering behavior, and sleep disturbances, currently stabilized on a regimen of Olanzapine, Haloperidol, trihexyphenidyl, and Lorazepam.</t>
        </is>
      </c>
      <c r="F25" s="3" t="inlineStr">
        <is>
          <t>Management:
- Continue current antipsychotic regimen and monitor for extrapyramidal side effects (given trihexyphenidyl co-prescription).
- Conduct a comprehensive mental status examination to assess for residual symptoms.
- Coordinate care with a multidisciplinary team to evaluate the necessity of the current polypharmacy regimen.
- Ensure regular monitoring of metabolic parameters due to Olanzapine use.
- Investigate triggers for wandering behavior and implement environmental safety measures if necessary.</t>
        </is>
      </c>
      <c r="G25" s="2" t="inlineStr">
        <is>
          <t>multidisciplinary review timing index</t>
        </is>
      </c>
      <c r="H25" s="4" t="inlineStr"/>
      <c r="I25" s="5" t="inlineStr"/>
    </row>
    <row r="26" ht="80" customHeight="1">
      <c r="A26" s="2" t="n">
        <v>374</v>
      </c>
      <c r="B26" s="2" t="inlineStr">
        <is>
          <t>batch2a_50__39</t>
        </is>
      </c>
      <c r="C26" s="2" t="inlineStr">
        <is>
          <t>long</t>
        </is>
      </c>
      <c r="D26" s="6" t="inlineStr">
        <is>
          <t>Schizophrenia spectrum disorder, most consistent with schizophrenia with prominent persecutory delusions</t>
        </is>
      </c>
      <c r="E26" s="6" t="inlineStr">
        <is>
          <t>27-year-old woman with an 8-year chronic psychotic illness beginning acutely, marked by pervasive persecutory suspiciousness, wandering away from familiar settings, disturbed sleep, and substantial distress with daily functional impairment. She is currently managed with antipsychotic and anxiolytic/anticholinergic medications.</t>
        </is>
      </c>
      <c r="F26" s="6" t="inlineStr">
        <is>
          <t>Management:
- Continue structured psychiatric follow-up and reassess symptom profile, including hallucinations, formal thought disorder, negative symptoms, mood symptoms, and substance use.
- Review adequacy and tolerability of the antipsychotic regimen; clarify whether dual antipsychotic therapy is intentional, time-limited, or a transition strategy.
- Monitor for extrapyramidal symptoms, metabolic adverse effects, sedation, anticholinergic burden, and QT-related risk as clinically indicated.
- Assess safety risks related to persecutory beliefs, wandering behavior, self-neglect, and potential vulnerability to harm.
- Strengthen psychosocial supports: family education, adherence support, sleep stabilization, and functional rehabilitation.
- Consider multidisciplinary care coordination with psychiatry, nursing, social work, and community mental health services.
- If symptoms remain severe despite optimized treatment, consider formal evaluation for treatment-resistant psychosis and clozapine eligibility.</t>
        </is>
      </c>
      <c r="G26" s="2" t="inlineStr">
        <is>
          <t>multidisciplinary review timing index</t>
        </is>
      </c>
      <c r="H26" s="4" t="inlineStr"/>
      <c r="I26" s="5" t="inlineStr"/>
    </row>
    <row r="27" ht="80" customHeight="1">
      <c r="A27" s="2" t="n">
        <v>115</v>
      </c>
      <c r="B27" s="2" t="inlineStr">
        <is>
          <t>batch3b_50__30</t>
        </is>
      </c>
      <c r="C27" s="2" t="inlineStr">
        <is>
          <t>long</t>
        </is>
      </c>
      <c r="D27" s="3" t="inlineStr">
        <is>
          <t>Bipolar I Disorder, current episode manic with psychotic features.</t>
        </is>
      </c>
      <c r="E27" s="3" t="inlineStr">
        <is>
          <t>30-year-old male with 8-year history of recurrent episodes characterized by grandiosity, decreased need for sleep, irritability, pressured speech, paranoid delusions, and physical aggression. Currently on valproate, aripiprazole, and lorazepam. Significant family history of psychiatric illness.</t>
        </is>
      </c>
      <c r="F27" s="3" t="inlineStr">
        <is>
          <t>Management:
- Maintain current mood stabilizer (Sodium Valproate) and antipsychotic (Aripiprazole) regimen.
- Monitor for ongoing aggression and ensure safety of family members; consider formal risk assessment.
- Evaluate adherence to medications and serum levels of valproate.
- Psychosocial assessment for family dynamics and conflict resolution.
- Consider gradual tapering of benzodiazepines (Lorazepam) due to dependency risk, if clinically stable.
- Monitor for metabolic side effects associated with Aripiprazole and Valproate.</t>
        </is>
      </c>
      <c r="G27" s="2" t="inlineStr">
        <is>
          <t>serotonin transporter polymorphism assay</t>
        </is>
      </c>
      <c r="H27" s="4" t="inlineStr"/>
      <c r="I27" s="5" t="inlineStr"/>
    </row>
    <row r="28" ht="80" customHeight="1">
      <c r="A28" s="2" t="n">
        <v>131</v>
      </c>
      <c r="B28" s="2" t="inlineStr">
        <is>
          <t>batch4a_50__29</t>
        </is>
      </c>
      <c r="C28" s="2" t="inlineStr">
        <is>
          <t>long</t>
        </is>
      </c>
      <c r="D28" s="6" t="inlineStr">
        <is>
          <t>Brief Psychotic Disorder</t>
        </is>
      </c>
      <c r="E28" s="6" t="inlineStr">
        <is>
          <t>33-year-old female with acute onset psychotic symptoms over 5 days, including delusions of persecution and reference, accompanied by irritability, refusal to eat, and sleep disturbance. Significant functional impairment and distress noted. Currently receiving ECT and Olanzapine.</t>
        </is>
      </c>
      <c r="F28" s="6" t="inlineStr">
        <is>
          <t>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is>
      </c>
      <c r="G28" s="2" t="inlineStr">
        <is>
          <t>treatment initiation latency interval</t>
        </is>
      </c>
      <c r="H28" s="4" t="inlineStr"/>
      <c r="I28" s="5" t="inlineStr"/>
    </row>
    <row r="29" ht="80" customHeight="1">
      <c r="A29" s="2" t="n">
        <v>201</v>
      </c>
      <c r="B29" s="2" t="inlineStr">
        <is>
          <t>batch3b_50__50</t>
        </is>
      </c>
      <c r="C29" s="2" t="inlineStr">
        <is>
          <t>short</t>
        </is>
      </c>
      <c r="D29" s="3" t="inlineStr">
        <is>
          <t>Schizophrenia</t>
        </is>
      </c>
      <c r="E29" s="3" t="inlineStr">
        <is>
          <t>28-year-old male with a 4-year history of chronic psychotic symptoms including auditory hallucinations, persecutory delusions, disorganized behavior, and somatic passivity. Currently managed with Clozapine.</t>
        </is>
      </c>
      <c r="F29" s="3"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G29" s="2" t="inlineStr">
        <is>
          <t>psychamidine</t>
        </is>
      </c>
      <c r="H29" s="4" t="inlineStr"/>
      <c r="I29" s="5" t="inlineStr"/>
    </row>
    <row r="30" ht="80" customHeight="1">
      <c r="A30" s="2" t="n">
        <v>48</v>
      </c>
      <c r="B30" s="2" t="inlineStr">
        <is>
          <t>batch1_50__41</t>
        </is>
      </c>
      <c r="C30" s="2" t="inlineStr">
        <is>
          <t>long</t>
        </is>
      </c>
      <c r="D30" s="6" t="inlineStr">
        <is>
          <t>Alcohol Withdrawal Delirium (Delirium Tremens)</t>
        </is>
      </c>
      <c r="E30" s="6" t="inlineStr">
        <is>
          <t>30-year-old male presenting with a 2-day history of irritability, aggression, restlessness, hallucinations, fearfulness, and insomnia following a reduction in alcohol intake. Patient has a 10-year history of alcohol use disorder.</t>
        </is>
      </c>
      <c r="F30" s="6"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G30" s="2" t="inlineStr">
        <is>
          <t>fronto-amygdala dysconnectivity profile</t>
        </is>
      </c>
      <c r="H30" s="4" t="inlineStr"/>
      <c r="I30" s="5" t="inlineStr"/>
    </row>
    <row r="31" ht="80" customHeight="1">
      <c r="A31" s="2" t="n">
        <v>39</v>
      </c>
      <c r="B31" s="2" t="inlineStr">
        <is>
          <t>batch2b_50__37</t>
        </is>
      </c>
      <c r="C31" s="2" t="inlineStr">
        <is>
          <t>long</t>
        </is>
      </c>
      <c r="D31" s="3" t="inlineStr">
        <is>
          <t>Borderline Personality Disorder with concurrent Bipolar II Disorder features</t>
        </is>
      </c>
      <c r="E31" s="3" t="inlineStr">
        <is>
          <t>18-year-old female with 6-year history of emotional dysregulation characterized by anger outbursts, mood instability, unstable relationships, and impulsive behaviors. Associated symptoms include decreased sleep need, irritability, increased talkativeness, grandiosity, elevated self-esteem, distractibility, and increased spending—suggestive of hypomanic/manic features. Current stressors include cannabis use and interpersonal conflict. Significant functional impairment across multiple domains.</t>
        </is>
      </c>
      <c r="F31" s="3" t="inlineStr">
        <is>
          <t>Management:
- Conduct comprehensive diagnostic assessment to differentiate between Borderline Personality Disorder and Bipolar II Disorder; consider mood charting over 4-6 weeks to establish episode duration and cycling patterns
- Assess cannabis use frequency, quantity, and temporal relationship to mood episodes; provide psychoeducation on cannabis-induced mood destabilization and recommend cessation or reduction
- Continue current pharmacotherapy (Oxcarbazepine, olanzapine, lorazepam) with regular monitoring of efficacy and side effects; consider therapeutic drug monitoring if available
- Initiate evidence-based psychotherapy: Dialectical Behavior Therapy (DBT) is first-line for BPD features; consider Cognitive Behavioral Therapy (CBT) for mood regulation and impulse control
- Establish safety planning for impulsive behaviors and anger outbursts; assess for self-harm or suicidal ideation at each visit
- Address interpersonal relationship instability through psychoeducation and skills training; consider family or couples therapy if appropriate
- Monitor for benzodiazepine dependence risk given lorazepam use; establish clear tapering plan and explore alternative anxiolytic strategies
- Schedule follow-up appointments at 2-4 week intervals initially to assess treatment response and medication tolerability
- Screen for comorbid conditions (anxiety disorders, ADHD, trauma history) that may complicate presentation
- Provide psychoeducation regarding the chronic nature of personality pathology and realistic treatment expectations</t>
        </is>
      </c>
      <c r="G31" s="2" t="inlineStr">
        <is>
          <t>Stepped Care Escalation Route</t>
        </is>
      </c>
      <c r="H31" s="4" t="inlineStr"/>
      <c r="I31" s="5" t="inlineStr"/>
    </row>
    <row r="32" ht="80" customHeight="1">
      <c r="A32" s="2" t="n">
        <v>147</v>
      </c>
      <c r="B32" s="2" t="inlineStr">
        <is>
          <t>batch1_50__45</t>
        </is>
      </c>
      <c r="C32" s="2" t="inlineStr">
        <is>
          <t>short</t>
        </is>
      </c>
      <c r="D32" s="6" t="inlineStr">
        <is>
          <t>Schizophreniform disorder (first-episode schizophrenia-spectrum psychosis), provisional</t>
        </is>
      </c>
      <c r="E32" s="6"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F32" s="6"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G32" s="2" t="inlineStr">
        <is>
          <t>executive resilience index</t>
        </is>
      </c>
      <c r="H32" s="4" t="inlineStr"/>
      <c r="I32" s="5" t="inlineStr"/>
    </row>
    <row r="33" ht="80" customHeight="1">
      <c r="A33" s="2" t="n">
        <v>288</v>
      </c>
      <c r="B33" s="2" t="inlineStr">
        <is>
          <t>batch2b_50__8</t>
        </is>
      </c>
      <c r="C33" s="2" t="inlineStr">
        <is>
          <t>long</t>
        </is>
      </c>
      <c r="D33" s="3" t="inlineStr">
        <is>
          <t>Schizophrenia, Paranoid Type</t>
        </is>
      </c>
      <c r="E33" s="3"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F33" s="3"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G33" s="2" t="inlineStr">
        <is>
          <t>referral pathway optimization metric</t>
        </is>
      </c>
      <c r="H33" s="4" t="inlineStr"/>
      <c r="I33" s="5" t="inlineStr"/>
    </row>
    <row r="34" ht="80" customHeight="1">
      <c r="A34" s="2" t="n">
        <v>311</v>
      </c>
      <c r="B34" s="2" t="inlineStr">
        <is>
          <t>batch3b_50__48</t>
        </is>
      </c>
      <c r="C34" s="2" t="inlineStr">
        <is>
          <t>short</t>
        </is>
      </c>
      <c r="D34" s="6" t="inlineStr">
        <is>
          <t>Bipolar I disorder, current episode manic with psychotic features</t>
        </is>
      </c>
      <c r="E34" s="6"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F34" s="6"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G34" s="2" t="inlineStr">
        <is>
          <t>neuroendocrine stress signature</t>
        </is>
      </c>
      <c r="H34" s="4" t="inlineStr"/>
      <c r="I34" s="5" t="inlineStr"/>
    </row>
    <row r="35" ht="80" customHeight="1">
      <c r="A35" s="2" t="n">
        <v>214</v>
      </c>
      <c r="B35" s="2" t="inlineStr">
        <is>
          <t>batch4a_50__44</t>
        </is>
      </c>
      <c r="C35" s="2" t="inlineStr">
        <is>
          <t>short</t>
        </is>
      </c>
      <c r="D35" s="3" t="inlineStr">
        <is>
          <t>Delusional Disorder, Jealous Type</t>
        </is>
      </c>
      <c r="E35" s="3" t="inlineStr">
        <is>
          <t>40-year-old male with 4-year history of non-bizarre delusions centered on spousal infidelity, accompanied by irritability and interpersonal conflict. Currently receiving ECT and antipsychotic therapy (Risperidone), with identified psychosocial stressors related to marital discord.</t>
        </is>
      </c>
      <c r="F35" s="3" t="inlineStr">
        <is>
          <t>Management:
- Continue Risperidone with therapeutic drug monitoring; assess compliance and tolerability at each visit
- Evaluate response to ECT course; document symptom trajectory and consider maintenance ECT if acute response is favorable
- Conduct comprehensive marital/couples assessment to differentiate delusional content from genuine relationship dysfunction
- Implement psychoeducation for patient and spouse regarding delusional disorder, treatment expectations, and relapse warning signs
- Establish structured follow-up schedule (weekly initially) to monitor symptom recurrence risk and medication side effects
- Consider adjunctive psychotherapy (CBT or supportive therapy) to address jealous ideation and improve coping strategies
- Assess for comorbid mood symptoms (irritability may indicate underlying depression or bipolar spectrum features) and treat accordingly
- Develop relapse prevention plan with clear risk stratification and crisis protocols given 4-year chronicity
- Evaluate psychosocial stressors and facilitate marital counseling or family therapy to reduce environmental triggers
- Monitor for medication-induced side effects (metabolic, extrapyramidal) and adjust regimen if necessary</t>
        </is>
      </c>
      <c r="G35" s="2" t="inlineStr">
        <is>
          <t>symptom recurrence risk gradient</t>
        </is>
      </c>
      <c r="H35" s="4" t="inlineStr"/>
      <c r="I35" s="5" t="inlineStr"/>
    </row>
    <row r="36" ht="80" customHeight="1">
      <c r="A36" s="2" t="n">
        <v>372</v>
      </c>
      <c r="B36" s="2" t="inlineStr">
        <is>
          <t>batch3a_50__31</t>
        </is>
      </c>
      <c r="C36" s="2" t="inlineStr">
        <is>
          <t>long</t>
        </is>
      </c>
      <c r="D36" s="6" t="inlineStr">
        <is>
          <t>Substance-induced psychotic disorder</t>
        </is>
      </c>
      <c r="E36" s="6" t="inlineStr">
        <is>
          <t>A 48-year-old male presents with a 8-year history of craving, tolerance, irritability, muttering to himself, delusion of persecution and decreased sleep.</t>
        </is>
      </c>
      <c r="F36" s="6" t="inlineStr">
        <is>
          <t>Management:
- Continue Tab Olanzapine as prescribed
- Counseling for substance use
- Regular follow-up appointments to monitor symptoms and adjust treatment as needed</t>
        </is>
      </c>
      <c r="G36" s="2" t="inlineStr">
        <is>
          <t>affective volatility threshold index</t>
        </is>
      </c>
      <c r="H36" s="4" t="inlineStr"/>
      <c r="I36" s="5" t="inlineStr"/>
    </row>
    <row r="37" ht="80" customHeight="1">
      <c r="A37" s="2" t="n">
        <v>297</v>
      </c>
      <c r="B37" s="2" t="inlineStr">
        <is>
          <t>batch1_50__5</t>
        </is>
      </c>
      <c r="C37" s="2" t="inlineStr">
        <is>
          <t>short</t>
        </is>
      </c>
      <c r="D37" s="3" t="inlineStr">
        <is>
          <t>Bipolar Disorder</t>
        </is>
      </c>
      <c r="E37" s="3" t="inlineStr">
        <is>
          <t>A 21-year-old female presents with an insidious onset over 3 years, characterized by an irritable mood, increased energy and activity, decreased need for sleep, increased talkativeness, distractibility, and impulsivity.</t>
        </is>
      </c>
      <c r="F37" s="3" t="inlineStr">
        <is>
          <t>Management:
- Psychotherapy
- Mood stabilizers
- Monitor for symptoms and adjust treatment as needed</t>
        </is>
      </c>
      <c r="G37" s="2" t="inlineStr">
        <is>
          <t>affective regulation signature</t>
        </is>
      </c>
      <c r="H37" s="4" t="inlineStr"/>
      <c r="I37" s="5" t="inlineStr"/>
    </row>
    <row r="38" ht="80" customHeight="1">
      <c r="A38" s="2" t="n">
        <v>303</v>
      </c>
      <c r="B38" s="2" t="inlineStr">
        <is>
          <t>batch3a_50__2</t>
        </is>
      </c>
      <c r="C38" s="2" t="inlineStr">
        <is>
          <t>long</t>
        </is>
      </c>
      <c r="D38" s="6" t="inlineStr">
        <is>
          <t>Dissociative Amnesia with Depressive Features</t>
        </is>
      </c>
      <c r="E38" s="6" t="inlineStr">
        <is>
          <t>17-year-old female with acute onset dissociative amnesia (2-year duration) characterized by inability to recall autobiographical memories spanning 8 years, temporally linked to grandmother's death. Presenting with significant memory loss in context of bereavement-related trauma. Currently on multi-agent psychopharmacology including SSRI, benzodiazepine, and atypical antipsychotic.</t>
        </is>
      </c>
      <c r="F38" s="6" t="inlineStr">
        <is>
          <t>Management:
- Conduct comprehensive trauma-focused assessment to clarify temporal relationship between grandmother's death and amnesia onset
- Perform detailed neuropsychological testing to differentiate dissociative amnesia from organic memory impairment (MRI brain, EEG if indicated)
- Initiate trauma-focused psychotherapy (CPT or EMDR) as primary intervention; medication alone insufficient for dissociative amnesia
- Review medication regimen: clarify indication for olanzapine; consider deprescribing benzodiazepine given risk of dependence in adolescents
- Assess for comorbid depression and anxiety using validated scales (PHQ-9, GAD-7)
- Establish safety plan and monitor for suicidal ideation given bereavement context
- Involve family in treatment planning and psychoeducation about dissociative amnesia
- Schedule follow-up neuropsychiatric evaluation in 4-6 weeks to assess treatment response and memory recovery</t>
        </is>
      </c>
      <c r="G38" s="2" t="inlineStr">
        <is>
          <t>medication burden variability metric</t>
        </is>
      </c>
      <c r="H38" s="4" t="inlineStr"/>
      <c r="I38" s="5" t="inlineStr"/>
    </row>
    <row r="39" ht="80" customHeight="1">
      <c r="A39" s="2" t="n">
        <v>254</v>
      </c>
      <c r="B39" s="2" t="inlineStr">
        <is>
          <t>batch4a_50__26</t>
        </is>
      </c>
      <c r="C39" s="2" t="inlineStr">
        <is>
          <t>short</t>
        </is>
      </c>
      <c r="D39" s="3" t="inlineStr">
        <is>
          <t>Bipolar Disorder</t>
        </is>
      </c>
      <c r="E39" s="3" t="inlineStr">
        <is>
          <t>A 19-year-old male presents with symptoms such as irritability, heightened goal-directed behavior, increased talkativeness, overfamiliarity, elevated self-esteem, and physical aggressiveness.</t>
        </is>
      </c>
      <c r="F39" s="3" t="inlineStr">
        <is>
          <t>Management:
- Continue treatment with Olanzapine and Lorazepam
- Monitor symptoms and adjust treatment as needed
- Consider cognitive-behavioral therapy to address underlying issues</t>
        </is>
      </c>
      <c r="G39" s="2" t="inlineStr">
        <is>
          <t>attenuation gradient profile</t>
        </is>
      </c>
      <c r="H39" s="4" t="inlineStr"/>
      <c r="I39" s="5" t="inlineStr"/>
    </row>
    <row r="40" ht="80" customHeight="1">
      <c r="A40" s="2" t="n">
        <v>262</v>
      </c>
      <c r="B40" s="2" t="inlineStr">
        <is>
          <t>batch4a_50__49</t>
        </is>
      </c>
      <c r="C40" s="2" t="inlineStr">
        <is>
          <t>long</t>
        </is>
      </c>
      <c r="D40" s="6" t="inlineStr">
        <is>
          <t>Delirium (likely secondary to a medical/metabolic cause or CNS complication in an immunocompromised patient)</t>
        </is>
      </c>
      <c r="E40" s="6" t="inlineStr">
        <is>
          <t>48-year-old female with acute onset (3 days) of fluctuating orientation, psychomotor agitation, sleep-wake cycle reversal, perceptual disturbances, and irrelevant talk in the context of advanced HIV and epilepsy.</t>
        </is>
      </c>
      <c r="F40" s="6" t="inlineStr">
        <is>
          <t>Management:
- Perform urgent physical and neurological examination.
- Conduct laboratory investigations: CBC, CMP, electrolytes, glucose, thyroid function, ammonia, HIV viral load, and CD4 count.
- Perform neuroimaging (e.g., MRI brain) to rule out structural pathology, CNS opportunistic infections (e.g., toxoplasmosis, PML), or acute CNS lesions.
- Obtain EEG to rule out non-convulsive status epilepticus or post-ictal state.
- Review medication list for drug-drug interactions, particularly between antiretrovirals and psychotropic agents (Quetiapine/Valproate).
- Check serum valproate levels; consider valproate-induced hyperammonemic encephalopathy.
- Monitor vital signs and hydration status.
- Consult neurology and infectious disease specialists.</t>
        </is>
      </c>
      <c r="G40" s="2" t="inlineStr">
        <is>
          <t>adherence persistence consistency score</t>
        </is>
      </c>
      <c r="H40" s="4" t="inlineStr"/>
      <c r="I40" s="5" t="inlineStr"/>
    </row>
    <row r="41" ht="80" customHeight="1">
      <c r="A41" s="2" t="n">
        <v>72</v>
      </c>
      <c r="B41" s="2" t="inlineStr">
        <is>
          <t>batch3a_50__21</t>
        </is>
      </c>
      <c r="C41" s="2" t="inlineStr">
        <is>
          <t>short</t>
        </is>
      </c>
      <c r="D41" s="3" t="inlineStr">
        <is>
          <t>Bipolar I Disorder with chronic course (or Secondary Mania secondary to neurological condition/frontal lobe pathology)</t>
        </is>
      </c>
      <c r="E41" s="3" t="inlineStr">
        <is>
          <t>30-year-old male presenting with chronic (2-year) symptoms of mania/hypomania including euphoria, increased energy, irritability, decreased need for sleep, and decreased appetite. Currently on Risperidone and Lorazepam; notable finding of frontal lobe attenuation pattern.</t>
        </is>
      </c>
      <c r="F41" s="3" t="inlineStr">
        <is>
          <t>Management:
- Review current psychiatric medication regimen and therapeutic response.
- Conduct a thorough physical and neurological examination to correlate frontal lobe attenuation with clinical presentation.
- Obtain formal neuropsychological testing to assess executive function and cognitive impact of frontal lobe findings.
- Perform routine blood work and metabolic screening (due to current antipsychotic use).
- Assess for substance use disorder or secondary medical causes of secondary mania.</t>
        </is>
      </c>
      <c r="G41" s="2" t="inlineStr">
        <is>
          <t>frontal lobe attenuation pattern</t>
        </is>
      </c>
      <c r="H41" s="4" t="inlineStr"/>
      <c r="I41" s="5" t="inlineStr"/>
    </row>
    <row r="42" ht="80" customHeight="1">
      <c r="A42" s="2" t="n">
        <v>271</v>
      </c>
      <c r="B42" s="2" t="inlineStr">
        <is>
          <t>batch4a_50__49</t>
        </is>
      </c>
      <c r="C42" s="2" t="inlineStr">
        <is>
          <t>short</t>
        </is>
      </c>
      <c r="D42" s="6" t="inlineStr">
        <is>
          <t>Delirium (ICD-10/11)</t>
        </is>
      </c>
      <c r="E42" s="6" t="inlineStr">
        <is>
          <t>48-year-old female with HIV and seizure disorder presenting with 3-day history of acute fluctuating orientation, psychomotor agitation, sleep-wake cycle reversal, perceptual disturbances, and disorganized speech (irrelevant talk).</t>
        </is>
      </c>
      <c r="F42" s="6" t="inlineStr">
        <is>
          <t>Management:
- Perform urgent medical evaluation to rule out metabolic, infectious, or toxic causes (e.g., meningitis, encephalitis, electrolyte imbalance, drug toxicity).
- Monitor vital signs and neurological status closely.
- Conduct laboratory investigations: CBC, CMP, infectious workup (blood/urine/CSF), and serum levels of current medications (Valproate).
- Consider medication adjustment/review, focusing on potential drug interactions or lowering seizure threshold.
- Consult neurology/infectious disease teams for multispecialty management.
- Ensure safety precautions in the inpatient setting.</t>
        </is>
      </c>
      <c r="G42" s="2" t="inlineStr">
        <is>
          <t>adherence persistence consistency score</t>
        </is>
      </c>
      <c r="H42" s="4" t="inlineStr"/>
      <c r="I42" s="5" t="inlineStr"/>
    </row>
    <row r="43" ht="80" customHeight="1">
      <c r="A43" s="2" t="n">
        <v>285</v>
      </c>
      <c r="B43" s="2" t="inlineStr">
        <is>
          <t>batch2b_50__50</t>
        </is>
      </c>
      <c r="C43" s="2" t="inlineStr">
        <is>
          <t>long</t>
        </is>
      </c>
      <c r="D43" s="3" t="inlineStr">
        <is>
          <t>Obsessive-Compulsive Disorder (OCD) with comorbid Panic Disorder</t>
        </is>
      </c>
      <c r="E43" s="3" t="inlineStr">
        <is>
          <t>A 36-year-old female presenting with persistent symptoms of anxiety, fear, and compulsions, with significant impairment in daily functioning and quality of life.</t>
        </is>
      </c>
      <c r="F43" s="3" t="inlineStr">
        <is>
          <t>Management:
- Continue current medication regimen
- Consider cognitive-behavioral therapy (CBT) for OCD and panic disorder
- Monitor for potential side effects of medication
- Assess for any changes in symptoms or functioning over time</t>
        </is>
      </c>
      <c r="G43" s="2" t="inlineStr">
        <is>
          <t>functional independence measurement profile</t>
        </is>
      </c>
      <c r="H43" s="4" t="inlineStr"/>
      <c r="I43" s="5" t="inlineStr"/>
    </row>
    <row r="44" ht="80" customHeight="1">
      <c r="A44" s="2" t="n">
        <v>300</v>
      </c>
      <c r="B44" s="2" t="inlineStr">
        <is>
          <t>batch3b_50__18</t>
        </is>
      </c>
      <c r="C44" s="2" t="inlineStr">
        <is>
          <t>long</t>
        </is>
      </c>
      <c r="D44" s="6" t="inlineStr">
        <is>
          <t>Schizophrenia, Paranoid Type</t>
        </is>
      </c>
      <c r="E44" s="6"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F44" s="6"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G44" s="2" t="inlineStr">
        <is>
          <t>cognitive flexibility decay rate</t>
        </is>
      </c>
      <c r="H44" s="4" t="inlineStr"/>
      <c r="I44" s="5" t="inlineStr"/>
    </row>
    <row r="45" ht="80" customHeight="1">
      <c r="A45" s="2" t="n">
        <v>305</v>
      </c>
      <c r="B45" s="2" t="inlineStr">
        <is>
          <t>batch4a_50__28</t>
        </is>
      </c>
      <c r="C45" s="2" t="inlineStr">
        <is>
          <t>long</t>
        </is>
      </c>
      <c r="D45" s="3" t="inlineStr">
        <is>
          <t>Delusional Disorder, Mixed Type (Somatic and Jealous) with secondary Depressive symptoms.</t>
        </is>
      </c>
      <c r="E45" s="3" t="inlineStr">
        <is>
          <t>33-year-old female with a 3-year history of persistent delusional disorder (hypochondriacal and jealous types) accompanied by secondary depressive symptoms (low mood, anhedonia, fatigue, decreased appetite). Currently managed with olanzapine and fluoxetine.</t>
        </is>
      </c>
      <c r="F45" s="3" t="inlineStr">
        <is>
          <t>Management:
- Continue current pharmacological regimen (olanzapine and fluoxetine) as part of the Stabilization Maintenance Framework.
- Monitor for treatment adherence and side effects of antipsychotic therapy (e.g., metabolic monitoring).
- Initiate cognitive behavioral therapy for psychosis (CBTp) to address delusional content and improve coping mechanisms.
- Conduct regular risk assessments, specifically monitoring for potential harm related to ideas of infidelity.
- Evaluate the need for family psychoeducation to improve the patient's support system.</t>
        </is>
      </c>
      <c r="G45" s="2" t="inlineStr">
        <is>
          <t>Stabilization Maintenance Framework</t>
        </is>
      </c>
      <c r="H45" s="4" t="inlineStr"/>
      <c r="I45" s="5" t="inlineStr"/>
    </row>
    <row r="46" ht="80" customHeight="1">
      <c r="A46" s="2" t="n">
        <v>20</v>
      </c>
      <c r="B46" s="2" t="inlineStr">
        <is>
          <t>batch4a_50__8</t>
        </is>
      </c>
      <c r="C46" s="2" t="inlineStr">
        <is>
          <t>long</t>
        </is>
      </c>
      <c r="D46" s="6" t="inlineStr">
        <is>
          <t>Schizoaffective disorder or Schizophrenia, treatment-refractory (requiring Clozapine)</t>
        </is>
      </c>
      <c r="E46" s="6" t="inlineStr">
        <is>
          <t>20-year-old male with a 4.5-year history of chronic psychotic symptoms, including persecutory delusions, delusions of reference, restlessness, and affective symptoms (low mood, suicidal ideation), currently managed on Clozapine.</t>
        </is>
      </c>
      <c r="F46" s="6" t="inlineStr">
        <is>
          <t>Management:
- Continue monitoring for therapeutic response and side effects of Clozapine (e.g., metabolic profile, agranulocytosis).
- Regular monitoring of glucose levels and metabolic health given the patient's current medication.
- Maintain psychosocial interventions and therapeutic monitoring for mood and suicidality.
- Monitor for any worsening of trance or dissociative-like symptoms.</t>
        </is>
      </c>
      <c r="G46" s="2" t="inlineStr">
        <is>
          <t>Glucose Metabolism Indicator</t>
        </is>
      </c>
      <c r="H46" s="4" t="inlineStr"/>
      <c r="I46" s="5" t="inlineStr"/>
    </row>
    <row r="47" ht="80" customHeight="1">
      <c r="A47" s="2" t="n">
        <v>371</v>
      </c>
      <c r="B47" s="2" t="inlineStr">
        <is>
          <t>batch2b_50__9</t>
        </is>
      </c>
      <c r="C47" s="2" t="inlineStr">
        <is>
          <t>long</t>
        </is>
      </c>
      <c r="D47" s="3" t="inlineStr">
        <is>
          <t>Delusional Disorder, Persecutory Type</t>
        </is>
      </c>
      <c r="E47" s="3" t="inlineStr">
        <is>
          <t>38-year-old male with 3-year history of persecutory delusions with insidious onset, associated with aggressive behavior, anger dyscontrol, significant socio-occupational dysfunction, and treatment non-compliance.</t>
        </is>
      </c>
      <c r="F47" s="3"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G47" s="2" t="inlineStr">
        <is>
          <t>Serepax</t>
        </is>
      </c>
      <c r="H47" s="4" t="inlineStr"/>
      <c r="I47" s="5" t="inlineStr"/>
    </row>
    <row r="48" ht="80" customHeight="1">
      <c r="A48" s="2" t="n">
        <v>192</v>
      </c>
      <c r="B48" s="2" t="inlineStr">
        <is>
          <t>batch2a_50__8</t>
        </is>
      </c>
      <c r="C48" s="2" t="inlineStr">
        <is>
          <t>short</t>
        </is>
      </c>
      <c r="D48" s="6" t="inlineStr">
        <is>
          <t>Severe Alcohol Use Disorder (DSM-5-TR) in a patient with comorbid Bipolar Affective Disorder (in remission) and Anxious-Avoidant Personality traits.</t>
        </is>
      </c>
      <c r="E48" s="6"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F48" s="6"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G48" s="2" t="inlineStr">
        <is>
          <t>Maintenance Therapy Schedule</t>
        </is>
      </c>
      <c r="H48" s="4" t="inlineStr"/>
      <c r="I48" s="5" t="inlineStr"/>
    </row>
    <row r="49" ht="80" customHeight="1">
      <c r="A49" s="2" t="n">
        <v>304</v>
      </c>
      <c r="B49" s="2" t="inlineStr">
        <is>
          <t>batch2a_50__37</t>
        </is>
      </c>
      <c r="C49" s="2" t="inlineStr">
        <is>
          <t>short</t>
        </is>
      </c>
      <c r="D49" s="3" t="inlineStr">
        <is>
          <t>Bipolar Disorder</t>
        </is>
      </c>
      <c r="E49" s="3" t="inlineStr">
        <is>
          <t>A 36-year-old female presents with symptoms including anger outbursts, irritability, increased energy, increased talk, overspending, overactivity, elevated mood, hallucinatory voices, delusions of persecution, and decreased need for sleep.</t>
        </is>
      </c>
      <c r="F49" s="3" t="inlineStr">
        <is>
          <t>Management:
- Refer to a psychiatrist for further evaluation and treatment
- Consider mood stabilizers or antipsychotic medication
- Monitor for suicidal ideation or behavior</t>
        </is>
      </c>
      <c r="G49" s="2" t="inlineStr">
        <is>
          <t>behavioral drift syndrome</t>
        </is>
      </c>
      <c r="H49" s="4" t="inlineStr"/>
      <c r="I49" s="5" t="inlineStr"/>
    </row>
    <row r="50" ht="80" customHeight="1">
      <c r="A50" s="2" t="n">
        <v>293</v>
      </c>
      <c r="B50" s="2" t="inlineStr">
        <is>
          <t>batch3b_50__13</t>
        </is>
      </c>
      <c r="C50" s="2" t="inlineStr">
        <is>
          <t>long</t>
        </is>
      </c>
      <c r="D50" s="6" t="inlineStr">
        <is>
          <t>Schizophrenia</t>
        </is>
      </c>
      <c r="E50" s="6" t="inlineStr">
        <is>
          <t>24-year-old male presenting with a 1-year history of auditory hallucinations, delusions of persecution and reference, disorganized behavior, social withdrawal (vacant staring), inappropriate affect (smiling to himself), and functional impairment. Positive family history of similar psychiatric illness in first-degree relative. Currently on Risperidone monotherapy.</t>
        </is>
      </c>
      <c r="F50" s="6" t="inlineStr">
        <is>
          <t>Management:
- Continue Risperidone with dose optimization based on therapeutic response and side effect profile; monitor for extrapyramidal symptoms and metabolic effects
- Perform comprehensive metabolic panel and prolactin levels to assess treatment tolerability
- Conduct structured mental status examination including PANSS or BPRS to quantify positive and negative symptoms
- Assess for suicidality and homicidality given psychotic symptoms and duration of illness
- Establish baseline cognitive and functional assessment to track disease progression and treatment response
- Refer for psychosocial interventions including cognitive-behavioral therapy for psychosis (CBTp) and family psychoeducation
- Arrange regular psychiatric follow-up at 2-4 week intervals to monitor treatment response and medication adherence
- Obtain collateral history from family regarding past episodes and family psychiatric history to inform prognosis and genetic counseling
- Screen for substance use and rule out medical mimics (thyroid dysfunction, CNS infections, neuroleptic malignant syndrome risk)
- Develop relapse prevention plan and crisis intervention protocol</t>
        </is>
      </c>
      <c r="G50" s="2" t="inlineStr">
        <is>
          <t>emotional granularity attenuation gradient</t>
        </is>
      </c>
      <c r="H50" s="4" t="inlineStr"/>
      <c r="I50" s="5" t="inlineStr"/>
    </row>
    <row r="51" ht="80" customHeight="1">
      <c r="A51" s="2" t="n">
        <v>200</v>
      </c>
      <c r="B51" s="2" t="inlineStr">
        <is>
          <t>batch2b_50__33</t>
        </is>
      </c>
      <c r="C51" s="2" t="inlineStr">
        <is>
          <t>short</t>
        </is>
      </c>
      <c r="D51" s="3" t="inlineStr">
        <is>
          <t>Intellectual developmental disorder (likely severe/profound) with behavioral disturbance, comorbid generalized epilepsy</t>
        </is>
      </c>
      <c r="E51" s="3" t="inlineStr">
        <is>
          <t>44-year-old woman with a 32-year chronic history of generalized seizure-like episodes (tonic-clonic movements, fist clenching, eye-rolling, frothing from the mouth, loss of consciousness) and longstanding neurobehavioral impairment including poor self-care, pica/eating inedible items, screaming behavior, impaired communication, and other behavioral dysregulation despite treatment with valproate, clobazam, clonazepam, and olanzapine.</t>
        </is>
      </c>
      <c r="F51" s="3" t="inlineStr">
        <is>
          <t>Management:
- Obtain a detailed developmental history (age of onset of communication, self-care, adaptive, and behavioral difficulties) to confirm intellectual developmental disorder and severity level.
- Coordinate neurology follow-up for seizure classification, adherence review, and optimization of antiseizure therapy; consider EEG and brain imaging if not previously completed or if seizure pattern has changed.
- Review current psychotropic regimen for polypharmacy, sedation, paradoxical behavioral effects, and drug interactions, especially with valproate and benzodiazepines.
- Assess pica medically with iron studies, zinc, CBC, and nutritional evaluation; address environmental safety risks from ingestion of inedible items.
- Implement a structured behavioral plan with caregiver training, supervision, and functional behavioral assessment if available.
- Screen for reversible contributors to agitation or behavioral deterioration, including pain, constipation, infection, sleep disorder, and medication adverse effects.
- Consider referral to a psychiatrist experienced in neurodevelopmental disorders and to social services/disability support for long-term care planning.
- If seizures are ongoing or prolonged, provide seizure safety counseling and emergency rescue instructions to caregivers.</t>
        </is>
      </c>
      <c r="G51" s="2" t="inlineStr">
        <is>
          <t>lumapridone</t>
        </is>
      </c>
      <c r="H51" s="4" t="inlineStr"/>
      <c r="I51" s="5" t="inlineStr"/>
    </row>
    <row r="52" ht="80" customHeight="1">
      <c r="A52" s="2" t="n">
        <v>122</v>
      </c>
      <c r="B52" s="2" t="inlineStr">
        <is>
          <t>batch2a_50__4</t>
        </is>
      </c>
      <c r="C52" s="2" t="inlineStr">
        <is>
          <t>short</t>
        </is>
      </c>
      <c r="D52" s="6" t="inlineStr">
        <is>
          <t>Alcohol Use Disorder, Severe, with comorbid psychotic disorder (differential includes Alcohol-Induced Psychotic Disorder vs. Schizophrenia Spectrum Disorder)</t>
        </is>
      </c>
      <c r="E52" s="6" t="inlineStr">
        <is>
          <t>38-year-old male with a 10-year history of chronic alcohol use disorder (AUD) and concurrent psychotic symptoms (auditory hallucinations, catatonic-like vacant staring), currently stabilized on a regimen of benzodiazepines, thiamine, and PPIs.</t>
        </is>
      </c>
      <c r="F52" s="6"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G52" s="2" t="inlineStr">
        <is>
          <t>interpersonal conflict severity profile</t>
        </is>
      </c>
      <c r="H52" s="4" t="inlineStr"/>
      <c r="I52" s="5" t="inlineStr"/>
    </row>
    <row r="53" ht="80" customHeight="1">
      <c r="A53" s="2" t="n">
        <v>307</v>
      </c>
      <c r="B53" s="2" t="inlineStr">
        <is>
          <t>batch3b_50__14</t>
        </is>
      </c>
      <c r="C53" s="2" t="inlineStr">
        <is>
          <t>long</t>
        </is>
      </c>
      <c r="D53" s="3" t="inlineStr">
        <is>
          <t>Schizophrenia</t>
        </is>
      </c>
      <c r="E53" s="3" t="inlineStr">
        <is>
          <t>44-year-old female with 7-month course of psychotic symptoms including second and third person auditory hallucinations, persecutory delusions, muttering, wandering from home, fearfulness, vacant staring, and significant decline in self-care. Acute onset followed by persistent symptoms with marked functional impairment and distress.</t>
        </is>
      </c>
      <c r="F53" s="3" t="inlineStr">
        <is>
          <t>Management:
- Continue antipsychotic therapy with Olanzapine; assess compliance and tolerability at each visit
- Monitor for extrapyramidal side effects and metabolic complications (weight gain, glucose dysregulation, lipid profile)
- Implement structured behavioral activation protocol with realistic, graded goal-setting to address self-care deficits and social withdrawal
- Provide psychoeducation to patient and family regarding schizophrenia, relapse warning signs, and medication importance
- Conduct comprehensive cognitive-behavioral assessment to evaluate coping strategies for hallucinations and delusions
- Arrange regular psychiatric follow-up (minimum monthly) to monitor symptom response and treatment efficacy
- Assess safety: evaluate risk of harm to self/others given wandering behavior and paranoid ideation; establish care coordination plan
- Consider cognitive remediation and social skills training to support functional recovery
- Screen for comorbid substance use, mood symptoms, and medical conditions that may complicate presentation
- Arrange case management support to optimize adherence, housing stability, and community integration</t>
        </is>
      </c>
      <c r="G53" s="2" t="inlineStr">
        <is>
          <t>behavioral activation monitoring framework</t>
        </is>
      </c>
      <c r="H53" s="4" t="inlineStr"/>
      <c r="I53" s="5" t="inlineStr"/>
    </row>
    <row r="54" ht="80" customHeight="1">
      <c r="A54" s="2" t="n">
        <v>129</v>
      </c>
      <c r="B54" s="2" t="inlineStr">
        <is>
          <t>batch2b_50__2</t>
        </is>
      </c>
      <c r="C54" s="2" t="inlineStr">
        <is>
          <t>short</t>
        </is>
      </c>
      <c r="D54" s="6" t="inlineStr">
        <is>
          <t>Hepatic Encephalopathy with secondary psychiatric manifestations (likely underlying chronic liver disease)</t>
        </is>
      </c>
      <c r="E54" s="6" t="inlineStr">
        <is>
          <t>51-year-old female with 24-year history of insidious onset presenting with decreased sleep, confabulation, forgetfulness, irritability, restlessness, and abdominal distension. Significant socio-occupational dysfunction noted. Current medication regimen includes Quetiapine, thiamine, methylcobalamin, propranolol, pantoprazole, and lactulose.</t>
        </is>
      </c>
      <c r="F54" s="6" t="inlineStr">
        <is>
          <t>Management:
- Obtain comprehensive metabolic panel, liver function tests (AST, ALT, bilirubin, albumin, PT/INR), and ammonia level to assess hepatic synthetic function and encephalopathy severity
- Perform neuropsychological testing to quantify cognitive deficits and differentiate from primary neurodegenerative or psychiatric disorders
- Conduct abdominal imaging (ultrasound or CT) to evaluate for cirrhosis, portal hypertension, and ascites given abdominal distension
- Assess for history of alcohol use disorder, viral hepatitis (HBV, HCV), or other chronic liver disease etiology
- Evaluate medication adherence and efficacy; consider lactulose dosing optimization for ammonia reduction
- Screen for hepatic encephalopathy using West Haven Criteria or Portosystemic Encephalopathy Index
- Assess nutritional status and optimize thiamine/B12 supplementation; consider additional micronutrient assessment
- Evaluate sleep disturbance etiology (hepatic encephalopathy vs. medication side effect vs. primary sleep disorder)
- Monitor for complications of chronic liver disease including variceal bleeding, spontaneous bacterial peritonitis, and renal dysfunction
- Consider psychiatry consultation to optimize antipsychotic therapy and address behavioral symptoms in context of organic etiology</t>
        </is>
      </c>
      <c r="G54" s="2" t="inlineStr">
        <is>
          <t>social participation frequency index</t>
        </is>
      </c>
      <c r="H54" s="4" t="inlineStr"/>
      <c r="I54" s="5" t="inlineStr"/>
    </row>
    <row r="55" ht="80" customHeight="1">
      <c r="A55" s="2" t="n">
        <v>325</v>
      </c>
      <c r="B55" s="2" t="inlineStr">
        <is>
          <t>batch2b_50__1</t>
        </is>
      </c>
      <c r="C55" s="2" t="inlineStr">
        <is>
          <t>long</t>
        </is>
      </c>
      <c r="D55" s="3" t="inlineStr">
        <is>
          <t>Bipolar I Disorder, Current Episode Manic with Psychotic Features</t>
        </is>
      </c>
      <c r="E55" s="3" t="inlineStr">
        <is>
          <t>18-year-old male with prominent manic features including delusions of reference, irritability, increased goal-directed activity, pressured speech (increased talkativeness), decreased need for sleep, and aggressive behavior. Recurrent pattern consistent with bipolar disorder type I with psychotic features. Current episode onset 2 months ago following medication non-compliance 4 months prior. History of similar episode 2 years ago.</t>
        </is>
      </c>
      <c r="F55" s="3" t="inlineStr">
        <is>
          <t>Management:
- Verify medication compliance and adherence to sodium valproate, olanzapine, and chlorpromazine regimen
- Obtain serum valproate levels to ensure therapeutic range (50-100 mcg/mL)
- Assess for active suicidal or homicidal ideation given irritability and aggressive behavior
- Consider inpatient psychiatric hospitalization if safety concerns present
- Evaluate sleep patterns objectively and monitor response to antipsychotic therapy
- Screen for substance use or medical causes of manic symptoms (thyroid function, metabolic panel)
- Implement psychoeducation regarding medication adherence and relapse prevention
- Schedule regular follow-up with psychiatry to monitor mood stabilization
- Address occupational/functional impairment and implement supportive services
- Consider adjunctive benzodiazepine for acute agitation if not already prescribed</t>
        </is>
      </c>
      <c r="G55" s="2" t="inlineStr">
        <is>
          <t>seraloxetine</t>
        </is>
      </c>
      <c r="H55" s="4" t="inlineStr"/>
      <c r="I55" s="5" t="inlineStr"/>
    </row>
    <row r="56" ht="80" customHeight="1">
      <c r="A56" s="2" t="n">
        <v>117</v>
      </c>
      <c r="B56" s="2" t="inlineStr">
        <is>
          <t>batch2a_50__3</t>
        </is>
      </c>
      <c r="C56" s="2" t="inlineStr">
        <is>
          <t>short</t>
        </is>
      </c>
      <c r="D56" s="6" t="inlineStr">
        <is>
          <t>Opioid use disorder, severe</t>
        </is>
      </c>
      <c r="E56" s="6" t="inlineStr">
        <is>
          <t>21-year-old male with a 3-year pattern of opioid use (primarily tramadol) characterized by craving, tolerance, loss of control, continued use despite harm, neglect of other pleasurable activities, and withdrawal symptoms; additional history of nicotine and cannabis use. Current treatment includes benzodiazepines, naltrexone, and pantoprazole.</t>
        </is>
      </c>
      <c r="F56" s="6" t="inlineStr">
        <is>
          <t>Management:
- Assess current opioid use severity, route, dose, overdose risk, and suicidality.
- Review whether naltrexone is appropriate and confirm opioid-free status before continuing it.
- Offer evidence-based OUD treatment: medication-assisted treatment options and structured psychosocial intervention.
- Provide harm-reduction counseling, including naloxone provision and overdose education.
- Screen for co-occurring nicotine, cannabis, anxiety, and depressive disorders.
- Monitor for benzodiazepine use and avoid unsafe co-prescribing with opioids whenever possible.</t>
        </is>
      </c>
      <c r="G56" s="2" t="inlineStr">
        <is>
          <t>pharmacodynamic response latency index</t>
        </is>
      </c>
      <c r="H56" s="4" t="inlineStr"/>
      <c r="I56" s="5" t="inlineStr"/>
    </row>
    <row r="57" ht="80" customHeight="1">
      <c r="A57" s="2" t="n">
        <v>290</v>
      </c>
      <c r="B57" s="2" t="inlineStr">
        <is>
          <t>batch1_50__22</t>
        </is>
      </c>
      <c r="C57" s="2" t="inlineStr">
        <is>
          <t>long</t>
        </is>
      </c>
      <c r="D57" s="3" t="inlineStr">
        <is>
          <t>Bipolar I disorder, current episode manic, without psychotic features</t>
        </is>
      </c>
      <c r="E57" s="3"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F57" s="3"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G57" s="2" t="inlineStr">
        <is>
          <t>cognitive inflexibility signature</t>
        </is>
      </c>
      <c r="H57" s="4" t="inlineStr"/>
      <c r="I57" s="5" t="inlineStr"/>
    </row>
    <row r="58" ht="80" customHeight="1">
      <c r="A58" s="2" t="n">
        <v>47</v>
      </c>
      <c r="B58" s="2" t="inlineStr">
        <is>
          <t>batch3b_50__2</t>
        </is>
      </c>
      <c r="C58" s="2" t="inlineStr">
        <is>
          <t>short</t>
        </is>
      </c>
      <c r="D58" s="6" t="inlineStr">
        <is>
          <t>Schizophrenia spectrum disorder, most consistent with schizophrenia (prominent persecutory delusions, negative symptoms, functional decline, and insidious 1-year course); likely treatment-resistant given clozapine use.</t>
        </is>
      </c>
      <c r="E58" s="6" t="inlineStr">
        <is>
          <t>20-year-old man with a 1-year insidious decline marked by reduced social interaction, refusal to eat, sleep disturbance, unprovoked aggression, and persecutory delusions. Current regimen (clozapine, quetiapine, lorazepam, thyroxine) suggests an established psychotic disorder with significant behavioral disturbance; history of hypothyroidism is noted but does not by itself explain the full syndrome.</t>
        </is>
      </c>
      <c r="F58" s="6" t="inlineStr">
        <is>
          <t>Management:
- Assess immediate risk of harm to self/others given violence, refusal to eat, and persecutory delusions; arrange urgent psychiatric review or inpatient stabilization if needed.
- Review adherence, prior antipsychotic trials, response to clozapine, and side-effect burden; confirm clozapine monitoring (ANC/WBC, metabolic parameters).
- Screen for medical/substance contributors to psychosis, including thyroid status (TSH/free T4), tox screen, and basic medical workup if not already done.
- Clarify presence of mood symptoms to exclude schizoaffective or mood disorder with psychotic features.
- Provide family/caregiver psychoeducation, safety planning, and support with nutrition, sleep, and supervision.
- Continue to optimize thyroid replacement and monitor for endocrine or metabolic complications from current treatment.</t>
        </is>
      </c>
      <c r="G58" s="2" t="inlineStr">
        <is>
          <t>Cortisol Awakening Response Ratio</t>
        </is>
      </c>
      <c r="H58" s="4" t="inlineStr"/>
      <c r="I58" s="5" t="inlineStr"/>
    </row>
    <row r="59" ht="80" customHeight="1">
      <c r="A59" s="2" t="n">
        <v>390</v>
      </c>
      <c r="B59" s="2" t="inlineStr">
        <is>
          <t>batch2b_50__23</t>
        </is>
      </c>
      <c r="C59" s="2" t="inlineStr">
        <is>
          <t>short</t>
        </is>
      </c>
      <c r="D59" s="3" t="inlineStr">
        <is>
          <t>Major Depressive Disorder, Recurrent, possibly with Persistent Depressive Disorder (Dysthymia) features</t>
        </is>
      </c>
      <c r="E59" s="3" t="inlineStr">
        <is>
          <t>38-year-old female with 10-year history of insidious-onset depressive symptoms including anhedonia (loss of interest in pleasurable activities), decreased energy, easy fatigability, sleep disturbance, and decreased libido. Associated anxiety and somatic symptoms with significant socio-occupational dysfunction and recurrent episodes suggesting chronic course.</t>
        </is>
      </c>
      <c r="F59" s="3" t="inlineStr">
        <is>
          <t>Management:
- Conduct structured diagnostic interview using DSM-5 criteria to confirm Major Depressive Disorder diagnosis and assess for persistent depressive disorder features given 10-year duration
- Obtain detailed mood history including timing, severity, and full symptom count to determine episode pattern and current severity
- Perform suicide risk assessment and safety planning given recurrent and chronic depression
- Order baseline laboratory studies: CBC, CMP, TSH, vitamin B12, folate levels to rule out medical causes of depression
- Initiate first-line pharmacotherapy: Consider SSRI (e.g., sertraline, escitalopram) or SNRI with 4-6 week trial and dose titration
- Recommend evidence-based psychotherapy: Cognitive-behavioral therapy (CBT) or interpersonal therapy (IPT) either as monotherapy or in combination with medication
- Assess functional impairment using objective measures (GAF, WHODAS, or PHQ-9) to track outcomes
- Screen for comorbid anxiety disorder and somatic symptom disorder given reported anxiety and somatic symptoms
- Evaluate medication adherence, side effects, and response at 2-4 week intervals
- Consider psychoeducation regarding depression chronicity and relapse prevention strategies
- Address socio-occupational dysfunction through rehabilitation and return-to-work planning as symptoms improve</t>
        </is>
      </c>
      <c r="G59" s="2" t="inlineStr">
        <is>
          <t>self-care resilience index</t>
        </is>
      </c>
      <c r="H59" s="4" t="inlineStr"/>
      <c r="I59" s="5" t="inlineStr"/>
    </row>
    <row r="60" ht="80" customHeight="1">
      <c r="A60" s="2" t="n">
        <v>245</v>
      </c>
      <c r="B60" s="2" t="inlineStr">
        <is>
          <t>batch2a_50__11</t>
        </is>
      </c>
      <c r="C60" s="2" t="inlineStr">
        <is>
          <t>long</t>
        </is>
      </c>
      <c r="D60" s="6" t="inlineStr">
        <is>
          <t>Schizophrenia</t>
        </is>
      </c>
      <c r="E60" s="6"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F60" s="6"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G60" s="2" t="inlineStr">
        <is>
          <t>frontal-striatal connectivity deficit</t>
        </is>
      </c>
      <c r="H60" s="4" t="inlineStr"/>
      <c r="I60" s="5" t="inlineStr"/>
    </row>
    <row r="61" ht="80" customHeight="1">
      <c r="A61" s="2" t="n">
        <v>166</v>
      </c>
      <c r="B61" s="2" t="inlineStr">
        <is>
          <t>batch2a_50__6</t>
        </is>
      </c>
      <c r="C61" s="2" t="inlineStr">
        <is>
          <t>short</t>
        </is>
      </c>
      <c r="D61" s="3" t="inlineStr">
        <is>
          <t>Schizophrenia and substance use disorder</t>
        </is>
      </c>
      <c r="E61" s="3" t="inlineStr">
        <is>
          <t>A 33-year-old male with 10 years of symptoms including visual hallucinations, auditory hallucinations, and delusions of persecution, along with episodic instability and substance use disorder.</t>
        </is>
      </c>
      <c r="F61" s="3"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G61" s="2" t="inlineStr">
        <is>
          <t>episodic instability scoring construct</t>
        </is>
      </c>
      <c r="H61" s="4" t="inlineStr"/>
      <c r="I61" s="5" t="inlineStr"/>
    </row>
    <row r="62" ht="80" customHeight="1">
      <c r="A62" s="2" t="n">
        <v>393</v>
      </c>
      <c r="B62" s="2" t="inlineStr">
        <is>
          <t>batch2b_50__4</t>
        </is>
      </c>
      <c r="C62" s="2" t="inlineStr">
        <is>
          <t>long</t>
        </is>
      </c>
      <c r="D62" s="6" t="inlineStr">
        <is>
          <t>Adjustment Disorder with Mixed Anxiety and Depressed Mood (Primary), with concurrent Major Depressive Disorder features, Alcohol Use Disorder (Mild-Moderate), and Tobacco Use Disorder</t>
        </is>
      </c>
      <c r="E62" s="6" t="inlineStr">
        <is>
          <t>46-year-old male with a 5-month history of excessive worry, intrusive thoughts about stressors, low mood, cognitive impairment (decreased attention/concentration), and active suicidal behavior (throat-cutting with intent to die). Significant grief-related stressors (death of wife and mother). Concurrent substance use pattern: alcohol use disorder (loss of control, cravings) and tobacco dependence (1 pack daily). Currently on escitalopram and thiamine.</t>
        </is>
      </c>
      <c r="F62" s="6" t="inlineStr">
        <is>
          <t>Management:
- URGENT: Implement immediate suicide risk assessment using validated tools (Columbia-Suicide Severity Rating Scale or similar) given active suicidal ideation with violent method and recent attempt.
- Establish psychiatric hospitalization or intensive outpatient crisis management; consider inpatient admission given active self-harm behavior and expressed intent.
- Review and optimize escitalopram dosage; ensure adequate therapeutic dose and duration for anxiety/depression treatment.
- Screen comprehensively for Major Depressive Disorder (PHQ-9) and Generalized Anxiety Disorder (GAD-7) to clarify diagnostic severity beyond adjustment disorder.
- Initiate structured grief counseling or trauma-informed psychotherapy (e.g., CBT, acceptance and commitment therapy) addressing bereavement and loss.
- Refer to substance use disorder specialist for assessment and treatment of alcohol use disorder; thiamine is appropriate but assess for alcohol-related nutritional deficiencies and organ damage.
- Address tobacco dependence: provide nicotine replacement therapy and/or pharmacotherapy (varenicline, bupropion) and behavioral counseling.
- Obtain collateral history from family members regarding timeline, behavioral changes, and access to means for self-harm.
- Document detailed safety planning and establish clear crisis contact protocols.
- Consider augmentation of antidepressant therapy if symptoms persist after 6-8 weeks at therapeutic dose (e.g., add anxiolytic or mood stabilizer).
- Schedule regular follow-up appointments (minimum weekly) until suicide risk significantly decreases.
- Screen for trauma history, medical comorbidities (cardiac, hepatic, metabolic), and medication interactions.</t>
        </is>
      </c>
      <c r="G62" s="2" t="inlineStr">
        <is>
          <t>violence propensity fluctuation index</t>
        </is>
      </c>
      <c r="H62" s="4" t="inlineStr"/>
      <c r="I62" s="5" t="inlineStr"/>
    </row>
    <row r="63" ht="80" customHeight="1">
      <c r="A63" s="2" t="n">
        <v>112</v>
      </c>
      <c r="B63" s="2" t="inlineStr">
        <is>
          <t>batch2a_50__12</t>
        </is>
      </c>
      <c r="C63" s="2" t="inlineStr">
        <is>
          <t>short</t>
        </is>
      </c>
      <c r="D63" s="3" t="inlineStr">
        <is>
          <t>Schizoaffective Disorder or Bipolar I Disorder with psychotic features</t>
        </is>
      </c>
      <c r="E63" s="3" t="inlineStr">
        <is>
          <t>48-year-old male with 2-month history of acute onset delusions of persecution/reference, pressured speech, mood lability, and aggression, with underlying diabetes and obesity. Currently on Aripiprazole.</t>
        </is>
      </c>
      <c r="F63" s="3" t="inlineStr">
        <is>
          <t>Management:
- Perform comprehensive psychiatric evaluation to differentiate between Schizoaffective Disorder, Bipolar I Disorder with psychotic features, or substance-induced psychosis.
- Assess medication adherence and therapeutic plasma levels of Aripiprazole; consider dosage adjustment or switch if refractory.
- Conduct metabolic panel monitoring (HbA1c, lipid profile) given history of obesity and diabetes, as Aripiprazole may impact metabolic status.
- Evaluate for organic causes (e.g., neurological, endocrine) given the acute onset and non-standard 'Serum HPA Axis Ratio' investigation.
- Ensure safety stabilization; consider inpatient admission if aggression persists.</t>
        </is>
      </c>
      <c r="G63" s="2" t="inlineStr">
        <is>
          <t>Serum HPA Axis Ratio</t>
        </is>
      </c>
      <c r="H63" s="4" t="inlineStr"/>
      <c r="I63" s="5" t="inlineStr"/>
    </row>
    <row r="64" ht="80" customHeight="1">
      <c r="A64" s="2" t="n">
        <v>306</v>
      </c>
      <c r="B64" s="2" t="inlineStr">
        <is>
          <t>batch4a_50__15</t>
        </is>
      </c>
      <c r="C64" s="2" t="inlineStr">
        <is>
          <t>long</t>
        </is>
      </c>
      <c r="D64" s="6" t="inlineStr">
        <is>
          <t>Catatonia (likely secondary to chronic schizophrenia with poor treatment adherence)</t>
        </is>
      </c>
      <c r="E64" s="6" t="inlineStr">
        <is>
          <t>34-year-old male with 6-year history of catatonic features including mutism, food refusal, vacant staring, and posturing. Past psychiatric history of schizophrenia. Currently on amisulpride and lorazepam with documented non-compliance as a significant stressor. The chronic, sustained nature of catatonic symptoms with known schizophrenia history and medication non-adherence suggests secondary catatonia.</t>
        </is>
      </c>
      <c r="F64" s="6" t="inlineStr">
        <is>
          <t>Management:
- Immediate assessment of medication adherence and barriers to compliance; consider long-acting antipsychotic formulations (depot amisulpride or alternative LAI) to reduce non-compliance burden
- Perform lorazepam challenge test (2 mg IV or IM lorazepam) as diagnostic confirmation of catatonia and potential therapeutic intervention
- Obtain baseline physical examination including vital signs, hydration status, and screening for medical complications (rhabdomyolysis, malignant catatonia, aspiration risk)
- Rule out organic/medical causes: metabolic panel, thyroid function, infectious workup, neuroimaging if clinically indicated
- Nutritional assessment and safe feeding protocol given food refusal; consider nasogastric feeding if intake remains critically inadequate
- Consider electroconvulsive therapy (ECT) if catatonia does not respond to lorazepam or medication optimization within 48-72 hours
- Establish structured medication compliance program: psychoeducation, supervised administration, engagement with family/carers, and psychiatric case management
- Monitor for signs of malignant catatonia (fever, autonomic instability, muscle rigidity) and escalate care if present</t>
        </is>
      </c>
      <c r="G64" s="2" t="inlineStr">
        <is>
          <t>interpersonal distress matrix</t>
        </is>
      </c>
      <c r="H64" s="4" t="inlineStr"/>
      <c r="I64" s="5" t="inlineStr"/>
    </row>
    <row r="65" ht="80" customHeight="1">
      <c r="A65" s="2" t="n">
        <v>357</v>
      </c>
      <c r="B65" s="2" t="inlineStr">
        <is>
          <t>batch2b_50__32</t>
        </is>
      </c>
      <c r="C65" s="2" t="inlineStr">
        <is>
          <t>long</t>
        </is>
      </c>
      <c r="D65" s="3" t="inlineStr">
        <is>
          <t>Schizophrenia (or Schizoaffective Disorder) co-occurring with Severe Alcohol Use Disorder</t>
        </is>
      </c>
      <c r="E65" s="3" t="inlineStr">
        <is>
          <t>35-year-old male with a 17-year history of chronic psychotic symptoms (persecutory delusions, hallucinations) and severe alcohol use disorder (17-year duration with tolerance, withdrawal, and continued use despite harm), currently presenting with acute stress following alcohol reduction.</t>
        </is>
      </c>
      <c r="F65" s="3" t="inlineStr">
        <is>
          <t>Management:
- Maintain current pharmacological regimen (Olanzapine, Lorazepam, Thiamine) and monitor for withdrawal stabilization.
- Assess for acute alcohol withdrawal syndrome (e.g., CIWA-Ar protocol) given recent reduction in intake.
- Conduct a comprehensive reassessment of psychotic symptoms to determine if they are primary (e.g., schizophrenia) or substance-induced/exacerbated.
- Facilitate a referral to a long-term substance use disorder program for integrated dual-diagnosis treatment.
- Monitor nutritional status and liver function given chronic alcohol use.</t>
        </is>
      </c>
      <c r="G65" s="2" t="inlineStr">
        <is>
          <t>emotional regulation effort index</t>
        </is>
      </c>
      <c r="H65" s="4" t="inlineStr"/>
      <c r="I65" s="5" t="inlineStr"/>
    </row>
    <row r="66" ht="80" customHeight="1">
      <c r="A66" s="2" t="n">
        <v>377</v>
      </c>
      <c r="B66" s="2" t="inlineStr">
        <is>
          <t>batch4a_50__25</t>
        </is>
      </c>
      <c r="C66" s="2" t="inlineStr">
        <is>
          <t>long</t>
        </is>
      </c>
      <c r="D66" s="6" t="inlineStr">
        <is>
          <t>Schizophrenia, chronic course with prominent positive symptoms and functional decline (treatment-resistant features given current clozapine use)</t>
        </is>
      </c>
      <c r="E66" s="6" t="inlineStr">
        <is>
          <t>27-year-old man with an insidious 7-year course of persistent psychotic symptoms, including persecutory delusions, ideas of reference, muttering to self, vacant staring, irritability/aggressiveness, reduced activity, sleep and appetite decline, medication refusal, and marked functional deterioration causing ongoing distress and impairment.</t>
        </is>
      </c>
      <c r="F66" s="6" t="inlineStr">
        <is>
          <t>Management:
- Continue specialist psychiatric follow-up; confirm the psychotic symptom timeline, premorbid functioning, and any mood episodes to exclude schizoaffective disorder or bipolar disorder with psychotic features.
- Assess adherence carefully, including whether clozapine has been taken consistently and whether serum clozapine/norclozapine levels are indicated.
- Review clozapine safety monitoring: ANC/CBC, metabolic parameters, weight/BMI, glucose/HbA1c, lipids, blood pressure, and constipation/ileus risk.
- Reassess current symptom burden, safety, agitation, and risk of harm to self or others, given aggressiveness and ongoing psychosis.
- Screen for substance use, neurologic illness, and medical contributors to chronic psychosis if not previously completed.
- Evaluate for medication adverse effects, including sedation, akathisia, and other contributors to restlessness or reduced activity.
- Consider psychosocial interventions: family psychoeducation, adherence support, supported housing/employment, and relapse prevention planning.
- If symptoms remain severe despite adequate clozapine trial and therapeutic level, consider a treatment-resistant schizophrenia review and specialist augmentation strategies.</t>
        </is>
      </c>
      <c r="G66" s="2" t="inlineStr">
        <is>
          <t>neurocognitive affect integration slope</t>
        </is>
      </c>
      <c r="H66" s="4" t="inlineStr"/>
      <c r="I66" s="5" t="inlineStr"/>
    </row>
    <row r="67" ht="80" customHeight="1">
      <c r="A67" s="2" t="n">
        <v>366</v>
      </c>
      <c r="B67" s="2" t="inlineStr">
        <is>
          <t>batch2b_50__2</t>
        </is>
      </c>
      <c r="C67" s="2" t="inlineStr">
        <is>
          <t>long</t>
        </is>
      </c>
      <c r="D67" s="3" t="inlineStr">
        <is>
          <t>Substance-Related and Addictive Disorder (alcohol use disorder) with secondary neurocognitive sequelae, likely Alcohol-Related Dementia or Hepatic Encephalopathy</t>
        </is>
      </c>
      <c r="E67" s="3" t="inlineStr">
        <is>
          <t>51-year-old female with a 24-year history of insidious-onset psychiatric symptoms including decreased sleep, confabulation, forgetfulness, irritability, and restlessness. Associated with abdominal distension and significant socio-occupational dysfunction. Current medication regimen includes Quetiapine, thiamine, methylcobalamin, propranolol, pantoprazole, and lactulose—a combination suggestive of concurrent management of psychiatric and gastrointestinal/hepatic conditions.</t>
        </is>
      </c>
      <c r="F67" s="3" t="inlineStr">
        <is>
          <t>Management:
- Obtain detailed substance use history (alcohol, benzodiazepines, other CNS depressants) with timeline and quantity to clarify primary etiology
- Order liver function tests (AST, ALT, bilirubin, albumin, PT/INR) to assess hepatic synthetic function and stage any cirrhosis
- Measure serum ammonia level (fasting, if possible) and arterial blood gas to confirm hepatic encephalopathy as a treatable component
- Neuropsychological evaluation including formal cognitive screening (Montreal Cognitive Assessment, Mini-Cog, or detailed neuropsych battery) to characterize dementia type and severity
- Brain MRI or CT to rule out structural pathology, assess for atrophy pattern (mammillary body involvement in Korsakoff syndrome), and evaluate for chronic hepatic encephalopathy changes
- Assess nutritional status comprehensively: serum thiamine, B12, folate, magnesium, phosphate, and albumin
- Gastroenterology/Hepatology referral for evaluation of portal hypertension, esophageal varices, and encephalopathy management optimization
- Continue lactulose dosing titrated to 2–3 bowel movements daily; consider addition of rifaxomicin if hepatic encephalopathy is confirmed and refractory
- Evaluate Quetiapine efficacy and necessity; consider dose reduction if cognitive impairment is worsening or if medication is contributing to sedation masking underlying confusion
- Psychiatry-Internal Medicine-Neurology case conference to coordinate management of comorbid psychiatric, hepatic, and neurocognitive disease
- Establish abstinence support and relapse prevention if active substance use is identified; refer to addiction psychiatry
- Monitor for complications: spontaneous bacterial peritonitis, variceal hemorrhage, renal failure (hepatorenal syndrome), and worsening encephalopathy</t>
        </is>
      </c>
      <c r="G67" s="2" t="inlineStr">
        <is>
          <t>social participation frequency index</t>
        </is>
      </c>
      <c r="H67" s="4" t="inlineStr"/>
      <c r="I67" s="5" t="inlineStr"/>
    </row>
    <row r="68" ht="80" customHeight="1">
      <c r="A68" s="2" t="n">
        <v>160</v>
      </c>
      <c r="B68" s="2" t="inlineStr">
        <is>
          <t>batch2a_50__3</t>
        </is>
      </c>
      <c r="C68" s="2" t="inlineStr">
        <is>
          <t>short</t>
        </is>
      </c>
      <c r="D68" s="6" t="inlineStr">
        <is>
          <t>Opioid Use Disorder, Severe (DSM-5-TR)</t>
        </is>
      </c>
      <c r="E68" s="6" t="inlineStr">
        <is>
          <t>21-year-old male presenting with diagnostic criteria for Opioid Use Disorder (Severe), characterized by tolerance, withdrawal, craving, loss of control, and continued use despite negative psychosocial consequences. Significant polysubstance history (nicotine, cannabis). Currently prescribed benzodiazepines, Naltrexone, and Pantoprazole.</t>
        </is>
      </c>
      <c r="F68" s="6" t="inlineStr">
        <is>
          <t>Management:
- Conduct a comprehensive review of the current benzodiazepine prescription, as concurrent opioid/opioid-analgesic and benzodiazepine use poses a high risk for respiratory depression.
- Evaluate the efficacy and adherence to Naltrexone therapy.
- Transition to a structured medically supervised opioid agonist therapy (e.g., Buprenorphine) if relapse risk remains high or Naltrexone is ineffective/poorly tolerated.
- Initiate integrated psychotherapy, specifically Cognitive Behavioral Therapy (CBT) or Contingency Management, targeting opioid addiction.
- Monitor for signs of opioid withdrawal during management transitions.
- Discard the use of 'pharmacodynamic response latency index' in clinical planning as it is not a recognized clinical metric.</t>
        </is>
      </c>
      <c r="G68" s="2" t="inlineStr">
        <is>
          <t>pharmacodynamic response latency index</t>
        </is>
      </c>
      <c r="H68" s="4" t="inlineStr"/>
      <c r="I68" s="5" t="inlineStr"/>
    </row>
    <row r="69" ht="80" customHeight="1">
      <c r="A69" s="2" t="n">
        <v>340</v>
      </c>
      <c r="B69" s="2" t="inlineStr">
        <is>
          <t>batch1_50__35</t>
        </is>
      </c>
      <c r="C69" s="2" t="inlineStr">
        <is>
          <t>short</t>
        </is>
      </c>
      <c r="D69" s="3" t="inlineStr">
        <is>
          <t>Major Depressive Disorder with comorbid Generalized Anxiety Disorder</t>
        </is>
      </c>
      <c r="E69" s="3" t="inlineStr">
        <is>
          <t>24-year-old female presenting with 1-month history of mixed depressive and anxiety symptoms, including anhedonia, suicidal ideation, hopelessness, palpitations, and significant ruminations, impacting daily functioning and interpersonal relationships.</t>
        </is>
      </c>
      <c r="F69" s="3" t="inlineStr">
        <is>
          <t>Management:
- Conduct a formal suicide risk assessment and implement an immediate safety plan.
- Evaluate for Major Depressive Disorder and Generalized Anxiety Disorder based on clinical criteria.
- Assess for physical causes of palpitations and shortness of breath (e.g., thyroid function, cardiac evaluation).
- Initiate psychotherapy (CBT or IPT) to address ruminations, worry, and relationship stressors.
- Consider pharmacological intervention (e.g., SSRI) if symptoms remain severe or refractory to therapy.
- Monitor cognitive and functional trajectory closely due to reported impairment.</t>
        </is>
      </c>
      <c r="G69" s="2" t="inlineStr">
        <is>
          <t>cognitive reserve trajectory</t>
        </is>
      </c>
      <c r="H69" s="4" t="inlineStr"/>
      <c r="I69" s="5" t="inlineStr"/>
    </row>
    <row r="70" ht="80" customHeight="1">
      <c r="A70" s="2" t="n">
        <v>399</v>
      </c>
      <c r="B70" s="2" t="inlineStr">
        <is>
          <t>batch2b_50__34</t>
        </is>
      </c>
      <c r="C70" s="2" t="inlineStr">
        <is>
          <t>long</t>
        </is>
      </c>
      <c r="D70" s="6" t="inlineStr">
        <is>
          <t>Major Depressive Disorder</t>
        </is>
      </c>
      <c r="E70" s="6" t="inlineStr">
        <is>
          <t>A 21-year-old male presents with an acute onset of symptoms lasting 2.5 years, including low mood, recurrent thoughts of death, hopelessness, decreased self-esteem, aggressive behavior, intentional self-harm, and anger outbursts.</t>
        </is>
      </c>
      <c r="F70" s="6"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G70" s="2" t="inlineStr">
        <is>
          <t>community integration consistency index</t>
        </is>
      </c>
      <c r="H70" s="4" t="inlineStr"/>
      <c r="I70" s="5" t="inlineStr"/>
    </row>
    <row r="71" ht="80" customHeight="1">
      <c r="A71" s="2" t="n">
        <v>15</v>
      </c>
      <c r="B71" s="2" t="inlineStr">
        <is>
          <t>batch1_50__33</t>
        </is>
      </c>
      <c r="C71" s="2" t="inlineStr">
        <is>
          <t>short</t>
        </is>
      </c>
      <c r="D71" s="3" t="inlineStr">
        <is>
          <t>Alcohol Use Disorder with psychotic features</t>
        </is>
      </c>
      <c r="E71" s="3" t="inlineStr">
        <is>
          <t>A 41-year-old male with 24 years of alcohol intake, presenting with symptoms of craving, tolerance, loss of control, and withdrawal features, accompanied by frustration tolerance variability metric, anger, aggressiveness, auditory hallucinations, and disorganized thinking.</t>
        </is>
      </c>
      <c r="F71" s="3" t="inlineStr">
        <is>
          <t>Management:
- Continue Thiamine supplementation to prevent Wernicke-Korsakoff syndrome
- Monitor for signs of benzodiazepine withdrawal and consider gradual taper
- Consider referral to a substance use treatment program
- Screen for other psychiatric comorbidities, such as depression or anxiety</t>
        </is>
      </c>
      <c r="G71" s="2" t="inlineStr">
        <is>
          <t>frustration tolerance variability metric</t>
        </is>
      </c>
      <c r="H71" s="4" t="inlineStr"/>
      <c r="I71" s="5" t="inlineStr"/>
    </row>
    <row r="72" ht="80" customHeight="1">
      <c r="A72" s="2" t="n">
        <v>222</v>
      </c>
      <c r="B72" s="2" t="inlineStr">
        <is>
          <t>batch4a_50__33</t>
        </is>
      </c>
      <c r="C72" s="2" t="inlineStr">
        <is>
          <t>long</t>
        </is>
      </c>
      <c r="D72" s="6" t="inlineStr">
        <is>
          <t>Borderline Personality Disorder</t>
        </is>
      </c>
      <c r="E72" s="6" t="inlineStr">
        <is>
          <t>32-year-old male with 25-year history of emotional dysregulation, affective instability triggered by minor stressors, poor anger control, unstable interpersonal relationships with idealization-devaluation cycles, and impulsive behaviors (property destruction, rule violations). Comorbid substance use disorders (alcohol with hazardous use patterns including DUI, nicotine dependence), gambling disorder with loss of control, and neglect. Currently on Oxcarbazepine monotherapy.</t>
        </is>
      </c>
      <c r="F72" s="6" t="inlineStr">
        <is>
          <t>Management:
- Initiate or optimize evidence-based psychotherapy: Dialectical Behavior Therapy (DBT) is first-line for BPD, particularly given impulsivity and anger dyscontrol; Mentalization-Based Therapy (MBT) is alternative evidence-based option
- Conduct comprehensive substance use assessment and consider referral to addiction medicine/substance use disorder treatment program given hazardous alcohol use (DUI), gambling disorder, and nicotine dependence
- Evaluate appropriateness of Oxcarbazepine monotherapy; consider augmentation with SSRI for affective instability if not already trialed, or switch to evidence-based pharmacotherapy (SSRIs are first-line for BPD affective symptoms)
- Screen for and address safety risks: assess for self-harm, suicidality, and harm to others given impulsivity and anger dyscontrol
- Establish structured care coordination between primary care, psychiatry, and addiction services via Primary Care Liaison Pathway
- Implement psychoeducation regarding BPD, substance use, and gambling disorder; discuss realistic treatment expectations and timeline
- Monitor for medication side effects and treatment response; consider neuropsychological evaluation if cognitive impairment suspected
- Address social/occupational functioning and develop relapse prevention strategies for substance use and gambling</t>
        </is>
      </c>
      <c r="G72" s="2" t="inlineStr">
        <is>
          <t>Primary Care Liaison Pathway</t>
        </is>
      </c>
      <c r="H72" s="4" t="inlineStr"/>
      <c r="I72" s="5" t="inlineStr"/>
    </row>
    <row r="73" ht="80" customHeight="1">
      <c r="A73" s="2" t="n">
        <v>6</v>
      </c>
      <c r="B73" s="2" t="inlineStr">
        <is>
          <t>batch3a_50__36</t>
        </is>
      </c>
      <c r="C73" s="2" t="inlineStr">
        <is>
          <t>long</t>
        </is>
      </c>
      <c r="D73" s="3" t="inlineStr">
        <is>
          <t>Severe Alcohol Use Disorder with physiological dependence and history of withdrawal seizures.</t>
        </is>
      </c>
      <c r="E73" s="3" t="inlineStr">
        <is>
          <t>35-year-old male with a 35-year history of severe alcohol and nicotine use disorder, presenting with physiological dependence, history of alcohol withdrawal seizures, and chronic liver disease. Currently managed with benzodiazepines, thiamine, and an unrecognized medication.</t>
        </is>
      </c>
      <c r="F73" s="3" t="inlineStr">
        <is>
          <t>Management:
- Continue medically supervised alcohol withdrawal management with benzodiazepines and thiamine.
- Monitor liver function tests and assess for complications of chronic liver disease.
- Verify the identity and clinical indication of 'Oint Quadragel' as it is not a recognized pharmaceutical agent.
- Initiate long-term substance use disorder treatment, including psychosocial interventions and relapse prevention planning.
- Assess for nutritional deficiencies and neurological sequelae related to chronic alcohol use.</t>
        </is>
      </c>
      <c r="G73" s="2" t="inlineStr">
        <is>
          <t>social cognition sensitivity index</t>
        </is>
      </c>
      <c r="H73" s="4" t="inlineStr"/>
      <c r="I73" s="5" t="inlineStr"/>
    </row>
    <row r="74" ht="80" customHeight="1">
      <c r="A74" s="2" t="n">
        <v>315</v>
      </c>
      <c r="B74" s="2" t="inlineStr">
        <is>
          <t>batch2b_50__21</t>
        </is>
      </c>
      <c r="C74" s="2" t="inlineStr">
        <is>
          <t>long</t>
        </is>
      </c>
      <c r="D74" s="6" t="inlineStr">
        <is>
          <t>Adjustment disorder with mixed anxiety and depressed mood</t>
        </is>
      </c>
      <c r="E74" s="6" t="inlineStr">
        <is>
          <t>23-year-old woman with 1 month of acute-onset anxiety and depressive symptoms (restlessness, excessive worry, stressor-focused preoccupation, low mood, insomnia) emerging after an intimate relationship separation, with associated self-poisoning by venlafaxine and two generalized tonic-clonic seizures plus hypoglycemia; she left AMA before psychiatric assessment.</t>
        </is>
      </c>
      <c r="F74" s="6" t="inlineStr">
        <is>
          <t>Management:
- Urgent suicide risk assessment, including intent, planning, lethality, and current access to medications or other means.
- Immediate medical review for venlafaxine overdose complications, including seizure monitoring, ECG/vital signs, and metabolic evaluation (including glucose).
- Psychiatric evaluation before discharge; consider inpatient admission if there is ongoing self-harm risk, impaired judgment, or inability to ensure safety.
- Initiate a collaborative safety plan and restrict access to medications and other lethal means.
- Assess for alternative diagnoses if symptoms persist or broaden, especially major depressive disorder, generalized anxiety disorder, and substance/medication-induced conditions.
- Address the acute psychosocial stressor and arrange close outpatient follow-up with psychotherapy and/or pharmacotherapy as clinically indicated.
- Document the AMA discharge context carefully and ensure robust follow-up outreach if the patient is lost to care.</t>
        </is>
      </c>
      <c r="G74" s="2" t="inlineStr">
        <is>
          <t>valence instability variability profile</t>
        </is>
      </c>
      <c r="H74" s="4" t="inlineStr"/>
      <c r="I74" s="5" t="inlineStr"/>
    </row>
    <row r="75" ht="80" customHeight="1">
      <c r="A75" s="2" t="n">
        <v>385</v>
      </c>
      <c r="B75" s="2" t="inlineStr">
        <is>
          <t>batch3a_50__45</t>
        </is>
      </c>
      <c r="C75" s="2" t="inlineStr">
        <is>
          <t>long</t>
        </is>
      </c>
      <c r="D75" s="3" t="inlineStr">
        <is>
          <t>Substance Use Disorder with comorbid Psychotic Disorder (Differential diagnosis includes Schizophrenia, substance-induced psychotic disorder, or organic brain syndrome)</t>
        </is>
      </c>
      <c r="E75" s="3"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F75" s="3"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G75" s="2" t="inlineStr">
        <is>
          <t>clinical monitoring frequency ratio</t>
        </is>
      </c>
      <c r="H75" s="4" t="inlineStr"/>
      <c r="I75" s="5" t="inlineStr"/>
    </row>
    <row r="76" ht="80" customHeight="1">
      <c r="A76" s="2" t="n">
        <v>116</v>
      </c>
      <c r="B76" s="2" t="inlineStr">
        <is>
          <t>batch4a_50__5</t>
        </is>
      </c>
      <c r="C76" s="2" t="inlineStr">
        <is>
          <t>long</t>
        </is>
      </c>
      <c r="D76" s="6" t="inlineStr">
        <is>
          <t>Panic disorder (with dissociative symptoms)</t>
        </is>
      </c>
      <c r="E76" s="6" t="inlineStr">
        <is>
          <t>18-year-old female with 1.5 years of persistent, acute-onset episodes characterized by irrational fear, trembling, palpitations, sweating, fear of losing control, fear of death, and dissociative spells, causing significant distress and impairment. Current treatment includes escitalopram, olanzapine, and clonazepam.</t>
        </is>
      </c>
      <c r="F76" s="6" t="inlineStr">
        <is>
          <t>Management:
- Confirm panic attacks are recurrent and unexpected; assess for avoidance behavior and anticipatory anxiety to support panic disorder diagnosis.
- Screen for medical mimics of panic/dissociation (thyroid disease, arrhythmia, anemia, seizure disorder, substance/medication effects).
- Clarify the dissociative spells: triggers, awareness, duration, post-event confusion, and whether neurologic evaluation is needed.
- Optimize first-line treatment with an SSRI/SNRI and structured CBT for panic disorder.
- Review the role of clonazepam; if used regularly, plan cautious taper once stable to reduce dependence and cognitive adverse effects.
- Reassess the need for olanzapine, as it is not a standard first-line treatment for panic disorder unless there is another target syndrome or comorbidity.
- Provide psychoeducation about panic physiology, breathing/grounding skills, and relapse prevention.
- Monitor suicidality, functional impairment, sleep, school/social functioning, and medication adverse effects over time.</t>
        </is>
      </c>
      <c r="G76" s="2" t="inlineStr">
        <is>
          <t>intrusive thought density index</t>
        </is>
      </c>
      <c r="H76" s="4" t="inlineStr"/>
      <c r="I76" s="5" t="inlineStr"/>
    </row>
    <row r="77" ht="80" customHeight="1">
      <c r="A77" s="2" t="n">
        <v>142</v>
      </c>
      <c r="B77" s="2" t="inlineStr">
        <is>
          <t>batch1_50__23</t>
        </is>
      </c>
      <c r="C77" s="2" t="inlineStr">
        <is>
          <t>long</t>
        </is>
      </c>
      <c r="D77" s="3" t="inlineStr">
        <is>
          <t>Cannabis-induced psychotic disorder, with manic-like symptoms (rule out cannabis-induced bipolar and related disorder; less likely primary bipolar I disorder or brief psychotic disorder)</t>
        </is>
      </c>
      <c r="E77" s="3" t="inlineStr">
        <is>
          <t>32-year-old man with a 4-day acute change characterized by increased talkativeness, elevated self-esteem, smiling to himself, and suspiciousness toward family members, in the context of 2 years of cannabis use with craving, tolerance, and neglect of other activities. No clear psychosocial stressor, prior psychiatric history, or functional decline is documented. Current symptomatic treatment includes risperidone and lorazepam.</t>
        </is>
      </c>
      <c r="F77" s="3" t="inlineStr">
        <is>
          <t>Management:
- Clarify the temporal relationship between cannabis use/intoxication/withdrawal and symptom onset.
- Obtain collateral history and a urine toxicology screen if not already done.
- Assess for hallucinations, delusions, decreased need for sleep, increased goal-directed activity, disinhibition, and level of functional impairment.
- Perform a full risk assessment for suicidality, aggression, inability to care for self, and vulnerability.
- Continue short-term symptom control with antipsychotic treatment; use lorazepam only as clinically indicated for agitation/anxiety.
- Strongly counsel cannabis cessation and provide relapse-prevention/addiction treatment referral.
- Reassess after abstinence; if symptoms persist beyond expected substance-related window, evaluate for primary bipolar disorder or a schizophrenia-spectrum disorder.
- Consider inpatient observation if safety, psychosis severity, or behavioral dyscontrol is present.</t>
        </is>
      </c>
      <c r="G77" s="2" t="inlineStr">
        <is>
          <t>attenuation pattern index</t>
        </is>
      </c>
      <c r="H77" s="4" t="inlineStr"/>
      <c r="I77" s="5" t="inlineStr"/>
    </row>
    <row r="78" ht="80" customHeight="1">
      <c r="A78" s="2" t="n">
        <v>329</v>
      </c>
      <c r="B78" s="2" t="inlineStr">
        <is>
          <t>batch2b_50__9</t>
        </is>
      </c>
      <c r="C78" s="2" t="inlineStr">
        <is>
          <t>long</t>
        </is>
      </c>
      <c r="D78" s="6" t="inlineStr">
        <is>
          <t>Delusional disorder, persecutory type (persistent persecutory delusion)</t>
        </is>
      </c>
      <c r="E78" s="6" t="inlineStr">
        <is>
          <t>38-year-old man with an insidious 3-year history of a persistent persecutory delusion, associated irritability/aggressive behavior and poor anger control, resulting in significant socio-occupational dysfunction and treatment non-adherence. Current treatment includes 6 ECT sessions plus risperidone and lorazepam; prior medication history includes Serepax (oxazepam).</t>
        </is>
      </c>
      <c r="F78" s="6" t="inlineStr">
        <is>
          <t>Management:
- Confirm absence/presence of hallucinations, disorganized speech/behavior, negative symptoms, and mood episodes to exclude schizophrenia-spectrum or mood disorder with psychotic features.
- Assess risk of violence, suicidality, command hallucinations, and access to weapons given aggression/poor anger control.
- Review adherence barriers and consider supervised administration, family involvement, and long-acting injectable antipsychotic if nonadherence persists.
- Continue antipsychotic treatment with careful monitoring for response and adverse effects; reassess the need for ECT based on severity, refractoriness, and comorbid depressive/catatonic features.
- Obtain a collateral history and longitudinal course to verify that the delusion is the predominant psychotic symptom and that functional decline is primarily delusion-related.
- Screen for secondary causes of psychosis (substance use, medical/neurologic illness) and perform basic labs as clinically indicated.</t>
        </is>
      </c>
      <c r="G78" s="2" t="inlineStr">
        <is>
          <t>Serepax</t>
        </is>
      </c>
      <c r="H78" s="4" t="inlineStr"/>
      <c r="I78" s="5" t="inlineStr"/>
    </row>
    <row r="79" ht="80" customHeight="1">
      <c r="A79" s="2" t="n">
        <v>103</v>
      </c>
      <c r="B79" s="2" t="inlineStr">
        <is>
          <t>batch3a_50__43</t>
        </is>
      </c>
      <c r="C79" s="2" t="inlineStr">
        <is>
          <t>short</t>
        </is>
      </c>
      <c r="D79" s="3" t="inlineStr">
        <is>
          <t>Bipolar I Disorder, currently symptomatic, with features of lithium toxicity.</t>
        </is>
      </c>
      <c r="E79" s="3"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F79" s="3"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G79" s="2" t="inlineStr">
        <is>
          <t>patient-provider communication frequency index</t>
        </is>
      </c>
      <c r="H79" s="4" t="inlineStr"/>
      <c r="I79" s="5" t="inlineStr"/>
    </row>
    <row r="80" ht="80" customHeight="1">
      <c r="A80" s="2" t="n">
        <v>197</v>
      </c>
      <c r="B80" s="2" t="inlineStr">
        <is>
          <t>batch1_50__31</t>
        </is>
      </c>
      <c r="C80" s="2" t="inlineStr">
        <is>
          <t>long</t>
        </is>
      </c>
      <c r="D80" s="6" t="inlineStr">
        <is>
          <t>Borderline personality disorder (emotionally unstable personality disorder), with self-harm behavior and probable comorbid alcohol use disorder</t>
        </is>
      </c>
      <c r="E80" s="6" t="inlineStr">
        <is>
          <t>25-year-old woman with 1 year of intentional self-harm, marked affective instability, anger outbursts, chronic feelings of emptiness, impulsivity, unstable interpersonal relationships, low mood, and alcohol use in the context of relationship conflict.</t>
        </is>
      </c>
      <c r="F80" s="6" t="inlineStr">
        <is>
          <t>Management:
- Perform an urgent suicide and self-harm risk assessment, including intent, lethality, access to means, and protective factors.
- Prioritize a structured psychotherapy plan, especially dialectical behavior therapy or another evidence-based treatment for borderline personality disorder.
- Assess and treat comorbid alcohol use disorder; provide brief intervention and refer to addiction services if indicated.
- Review current medications for benefit, adverse effects, and overdose risk; use benzodiazepines cautiously given impulsivity and substance use.
- Establish a clear crisis/safety plan with frequent follow-up and coordinated care between psychiatry, therapy, and primary care.</t>
        </is>
      </c>
      <c r="G80" s="2" t="inlineStr">
        <is>
          <t>clinical contact frequency gradient</t>
        </is>
      </c>
      <c r="H80" s="4" t="inlineStr"/>
      <c r="I80" s="5" t="inlineStr"/>
    </row>
    <row r="81" ht="80" customHeight="1">
      <c r="A81" s="2" t="n">
        <v>43</v>
      </c>
      <c r="B81" s="2" t="inlineStr">
        <is>
          <t>batch3b_50__31</t>
        </is>
      </c>
      <c r="C81" s="2" t="inlineStr">
        <is>
          <t>short</t>
        </is>
      </c>
      <c r="D81" s="3" t="inlineStr">
        <is>
          <t>Bipolar Disorder</t>
        </is>
      </c>
      <c r="E81" s="3" t="inlineStr">
        <is>
          <t>A 20-year-old male presents with symptoms including fearfulness, autonomic hyperactivity, apprehension, low mood, disturbed sleep, irritability, anger outbursts, difficulty controlling anger, and impulsive self-harm.</t>
        </is>
      </c>
      <c r="F81" s="3" t="inlineStr">
        <is>
          <t>Management:
- Continue current medications
- Monitor for side effects
- Cognitive-behavioral therapy for anger management
- Regular follow-up appointments</t>
        </is>
      </c>
      <c r="G81" s="2" t="inlineStr">
        <is>
          <t>risk accumulation temporal index</t>
        </is>
      </c>
      <c r="H81" s="4" t="inlineStr"/>
      <c r="I81" s="5" t="inlineStr"/>
    </row>
    <row r="82" ht="80" customHeight="1">
      <c r="A82" s="2" t="n">
        <v>180</v>
      </c>
      <c r="B82" s="2" t="inlineStr">
        <is>
          <t>batch2a_50__43</t>
        </is>
      </c>
      <c r="C82" s="2" t="inlineStr">
        <is>
          <t>long</t>
        </is>
      </c>
      <c r="D82" s="6" t="inlineStr">
        <is>
          <t>Bipolar Disorder</t>
        </is>
      </c>
      <c r="E82" s="6" t="inlineStr">
        <is>
          <t>A 52-year-old female with a 10-year history of elevated mood, increased talk, irritability, anger outbursts, and decreased need for sleep.</t>
        </is>
      </c>
      <c r="F82" s="6" t="inlineStr">
        <is>
          <t>Management:
- Monitor for signs of lithium toxicity
- Initiate mood stabilizers
- Adjust treatment plan as needed
- Schedule follow-up appointments to assess treatment efficacy</t>
        </is>
      </c>
      <c r="G82" s="2" t="inlineStr">
        <is>
          <t>discharge planning adequacy profile</t>
        </is>
      </c>
      <c r="H82" s="4" t="inlineStr"/>
      <c r="I82" s="5" t="inlineStr"/>
    </row>
    <row r="83" ht="80" customHeight="1">
      <c r="A83" s="2" t="n">
        <v>286</v>
      </c>
      <c r="B83" s="2" t="inlineStr">
        <is>
          <t>batch3b_50__16</t>
        </is>
      </c>
      <c r="C83" s="2" t="inlineStr">
        <is>
          <t>long</t>
        </is>
      </c>
      <c r="D83" s="3" t="inlineStr">
        <is>
          <t>Catatonia (likely secondary to an underlying psychotic disorder, probable Schizophrenia)</t>
        </is>
      </c>
      <c r="E83" s="3" t="inlineStr">
        <is>
          <t>48-year-old female with a 15-year history of decreased psychomotor activity, negativism, mutism, posturing, stereotypy, and mannerism. Cognitive-affective symptom cluster identified on clinical assessment. Subacute onset. Family history significant for schizophrenia. Currently receiving ECT, Lorazepam, and Aripiprazole.</t>
        </is>
      </c>
      <c r="F83" s="3" t="inlineStr">
        <is>
          <t>Management:
- Continue ECT as evidence-based intervention for treatment-resistant catatonia; assess response frequency and consider maintenance ECT if effective
- Maintain Lorazepam as a core pharmacological agent; monitor dosing adequacy and consider trial of higher doses if symptoms persist (benzodiazepine challenge is diagnostic for catatonia)
- Continue Aripiprazole at optimized doses to address underlying psychotic features; consider therapeutic drug monitoring if available
- Conduct comprehensive psychiatric reassessment to rule out alternative etiologies of catatonia (medical, neurological, substance-related)
- Perform neuroimaging (MRI brain) to exclude structural/neurological causes of long-standing catatonia
- Implement structured behavioral assessment using the Bush Francis Catatonia Rating Scale (BFCRS) to quantify severity and track treatment response
- Monitor for iatrogenic complications from chronic antipsychotic use (tardive dyskinesia, metabolic syndrome); perform abnormal involuntary movement scale (AIMS) screening
- Establish psychosocial rehabilitation and occupational therapy to promote functional recovery given 15-year symptom duration
- Family psychoeducation regarding schizophrenia spectrum disorder and catatonia management
- Consider trial of combination pharmacotherapy optimization or augmentation strategies if current regimen plateaus</t>
        </is>
      </c>
      <c r="G83" s="2" t="inlineStr">
        <is>
          <t>cognitive-affective symptom cluster</t>
        </is>
      </c>
      <c r="H83" s="4" t="inlineStr"/>
      <c r="I83" s="5" t="inlineStr"/>
    </row>
    <row r="84" ht="80" customHeight="1">
      <c r="A84" s="2" t="n">
        <v>41</v>
      </c>
      <c r="B84" s="2" t="inlineStr">
        <is>
          <t>batch4a_50__5</t>
        </is>
      </c>
      <c r="C84" s="2" t="inlineStr">
        <is>
          <t>short</t>
        </is>
      </c>
      <c r="D84" s="6" t="inlineStr">
        <is>
          <t>Panic Disorder with Agoraphobia</t>
        </is>
      </c>
      <c r="E84" s="6" t="inlineStr">
        <is>
          <t>18-year-old female presenting with symptoms of anxiety, dissociation, and intrusive thoughts, currently being treated with Escitalopram, Olanzapine, and Clonazepam</t>
        </is>
      </c>
      <c r="F84" s="6" t="inlineStr">
        <is>
          <t>Management:
- Monitor medication adherence and adjust as needed
- Consider cognitive-behavioral therapy (CBT) for panic disorder
- Refer for psychoeducation on anxiety management techniques</t>
        </is>
      </c>
      <c r="G84" s="2" t="inlineStr">
        <is>
          <t>intrusive thought density index</t>
        </is>
      </c>
      <c r="H84" s="4" t="inlineStr"/>
      <c r="I84" s="5" t="inlineStr"/>
    </row>
    <row r="85" ht="80" customHeight="1">
      <c r="A85" s="2" t="n">
        <v>113</v>
      </c>
      <c r="B85" s="2" t="inlineStr">
        <is>
          <t>batch1_50__9</t>
        </is>
      </c>
      <c r="C85" s="2" t="inlineStr">
        <is>
          <t>long</t>
        </is>
      </c>
      <c r="D85" s="3" t="inlineStr">
        <is>
          <t>Bipolar I disorder, current episode manic, likely precipitated by medication non-adherence (no psychotic features described)</t>
        </is>
      </c>
      <c r="E85" s="3"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F85" s="3"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G85" s="2" t="inlineStr">
        <is>
          <t>serapoxetine</t>
        </is>
      </c>
      <c r="H85" s="4" t="inlineStr"/>
      <c r="I85" s="5" t="inlineStr"/>
    </row>
    <row r="86" ht="80" customHeight="1">
      <c r="A86" s="2" t="n">
        <v>27</v>
      </c>
      <c r="B86" s="2" t="inlineStr">
        <is>
          <t>batch2b_50__29</t>
        </is>
      </c>
      <c r="C86" s="2" t="inlineStr">
        <is>
          <t>long</t>
        </is>
      </c>
      <c r="D86" s="6" t="inlineStr">
        <is>
          <t>Cannabis-induced psychotic disorder (persecutory delusions) with severe cannabis use disorder</t>
        </is>
      </c>
      <c r="E86" s="6" t="inlineStr">
        <is>
          <t>56-year-old man with 2 years of insidious persecutory delusions in the setting of chronic cannabis use marked by craving, tolerance, withdrawal, and continued use despite harm; currently treated with olanzapine, lorazepam, and thiamine.</t>
        </is>
      </c>
      <c r="F86" s="6" t="inlineStr">
        <is>
          <t>Management:
- Clarify the temporal relationship between cannabis use and onset/persistence of psychotic symptoms.
- Obtain a detailed substance use history, including quantity, frequency, last use, and prior abstinence periods.
- Perform urine toxicology and other medical workup as indicated to exclude secondary causes of psychosis.
- Continue/optimize antipsychotic treatment while monitoring for response and adverse effects.
- Use lorazepam only short term if needed for acute agitation or severe anxiety.
- Initiate substance use treatment: motivational interviewing, relapse-prevention counseling, and referral to addiction services.
- Assess safety, including suicidality, aggression risk, and ability to care for self.
- Provide psychoeducation about cannabis-related psychosis and the importance of abstinence.
- Arrange close psychiatric follow-up and involve family/supports when appropriate.</t>
        </is>
      </c>
      <c r="G86" s="2" t="inlineStr">
        <is>
          <t>behavioral self-monitoring battery</t>
        </is>
      </c>
      <c r="H86" s="4" t="inlineStr"/>
      <c r="I86" s="5" t="inlineStr"/>
    </row>
    <row r="87" ht="80" customHeight="1">
      <c r="A87" s="2" t="n">
        <v>151</v>
      </c>
      <c r="B87" s="2" t="inlineStr">
        <is>
          <t>batch2b_50__3</t>
        </is>
      </c>
      <c r="C87" s="2" t="inlineStr">
        <is>
          <t>short</t>
        </is>
      </c>
      <c r="D87" s="3" t="inlineStr">
        <is>
          <t>Anxiety Disorder</t>
        </is>
      </c>
      <c r="E87" s="3"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F87" s="3"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G87" s="2" t="inlineStr">
        <is>
          <t>neuroendocrine stress reactivity gradient</t>
        </is>
      </c>
      <c r="H87" s="4" t="inlineStr"/>
      <c r="I87" s="5" t="inlineStr"/>
    </row>
    <row r="88" ht="80" customHeight="1">
      <c r="A88" s="2" t="n">
        <v>198</v>
      </c>
      <c r="B88" s="2" t="inlineStr">
        <is>
          <t>batch1_50__22</t>
        </is>
      </c>
      <c r="C88" s="2" t="inlineStr">
        <is>
          <t>short</t>
        </is>
      </c>
      <c r="D88" s="6" t="inlineStr">
        <is>
          <t>Bipolar I Disorder, current episode manic, with recurrent history.</t>
        </is>
      </c>
      <c r="E88" s="6" t="inlineStr">
        <is>
          <t>27-year-old male exhibiting a 7-day period of elevated mood, grandiosity, psychomotor agitation (increased goal-directed activity), impulsivity (increased spending), and distractibility, consistent with a manic episode. Patient has a history of two similar previous episodes. Current treatment regimen includes mood stabilizers (Sodium Valproate), antipsychotics (Risperidone, Chlorpromazine), benzodiazepines (Lorazepam), and electroconvulsive therapy (ECT).</t>
        </is>
      </c>
      <c r="F88" s="6" t="inlineStr">
        <is>
          <t>Management:
- Continue close monitoring of mood and behavioral stabilization.
- Review the efficacy and necessity of the polypharmacy regimen (Sodium Valproate, Risperidone, Lorazepam, Chlorpromazine) to minimize side effects while maintaining therapeutic response.
- Re-evaluate the current ECT schedule and indications in the context of clinical response and episode duration.
- Assess safety risk (suicidality/impulsivity) given current manic symptoms.
- Consider long-term maintenance planning to prevent future recurrences, including medication adherence and potential psychosocial interventions.</t>
        </is>
      </c>
      <c r="G88" s="2" t="inlineStr">
        <is>
          <t>cognitive inflexibility signature</t>
        </is>
      </c>
      <c r="H88" s="4" t="inlineStr"/>
      <c r="I88" s="5" t="inlineStr"/>
    </row>
    <row r="89" ht="80" customHeight="1">
      <c r="A89" s="2" t="n">
        <v>68</v>
      </c>
      <c r="B89" s="2" t="inlineStr">
        <is>
          <t>batch2b_50__42</t>
        </is>
      </c>
      <c r="C89" s="2" t="inlineStr">
        <is>
          <t>long</t>
        </is>
      </c>
      <c r="D89" s="3" t="inlineStr">
        <is>
          <t>Major depressive disorder, single episode, moderate severity, with prominent somatic symptoms in the setting of chronic diabetic peripheral neuropathic pain</t>
        </is>
      </c>
      <c r="E89" s="3"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F89" s="3"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G89" s="2" t="inlineStr">
        <is>
          <t>personal autonomy maintenance index</t>
        </is>
      </c>
      <c r="H89" s="4" t="inlineStr"/>
      <c r="I89" s="5" t="inlineStr"/>
    </row>
    <row r="90" ht="80" customHeight="1">
      <c r="A90" s="2" t="n">
        <v>320</v>
      </c>
      <c r="B90" s="2" t="inlineStr">
        <is>
          <t>batch1_50__15</t>
        </is>
      </c>
      <c r="C90" s="2" t="inlineStr">
        <is>
          <t>long</t>
        </is>
      </c>
      <c r="D90" s="6" t="inlineStr">
        <is>
          <t>Alcohol withdrawal or related complications</t>
        </is>
      </c>
      <c r="E90" s="6" t="inlineStr">
        <is>
          <t>A 35-year-old male presents with symptoms that have persisted for three days, including tremulousness, agitation, sweating, and tremors, alongside irrelevant talking.</t>
        </is>
      </c>
      <c r="F90" s="6" t="inlineStr">
        <is>
          <t>Management:
- Careful monitoring
- Further assessment of mental status and functioning
- Address underlying issues contributing to symptoms</t>
        </is>
      </c>
      <c r="G90" s="2" t="inlineStr">
        <is>
          <t>attentional bias modulation index</t>
        </is>
      </c>
      <c r="H90" s="4" t="inlineStr"/>
      <c r="I90" s="5" t="inlineStr"/>
    </row>
    <row r="91" ht="80" customHeight="1">
      <c r="A91" s="2" t="n">
        <v>202</v>
      </c>
      <c r="B91" s="2" t="inlineStr">
        <is>
          <t>batch1_50__32</t>
        </is>
      </c>
      <c r="C91" s="2" t="inlineStr">
        <is>
          <t>short</t>
        </is>
      </c>
      <c r="D91" s="3" t="inlineStr">
        <is>
          <t>Alcohol Withdrawal Delirium (Delirium Tremens)</t>
        </is>
      </c>
      <c r="E91" s="3" t="inlineStr">
        <is>
          <t>36-year-old male presenting with acute onset (3 days) of delirium, including agitation, disorientation, and autonomic/gastrointestinal symptoms (vomiting) in the context of recent alcohol abstinence. Patient has a known history of severe alcohol use disorder.</t>
        </is>
      </c>
      <c r="F91" s="3"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G91" s="2" t="inlineStr">
        <is>
          <t>behavioral relapse surveillance plan</t>
        </is>
      </c>
      <c r="H91" s="4" t="inlineStr"/>
      <c r="I91" s="5" t="inlineStr"/>
    </row>
    <row r="92" ht="80" customHeight="1">
      <c r="A92" s="2" t="n">
        <v>336</v>
      </c>
      <c r="B92" s="2" t="inlineStr">
        <is>
          <t>batch1_50__13</t>
        </is>
      </c>
      <c r="C92" s="2" t="inlineStr">
        <is>
          <t>long</t>
        </is>
      </c>
      <c r="D92" s="6" t="inlineStr">
        <is>
          <t>Schizophreniform disorder, provisional, with comorbid cannabis use; rule out substance-induced psychotic disorder and schizophrenia if symptoms persist beyond 6 months</t>
        </is>
      </c>
      <c r="E92" s="6" t="inlineStr">
        <is>
          <t>18-year-old male with 42 days of prominent psychotic symptoms: delusions of control, persecution, and reference; thought insertion and broadcasting; third-person auditory hallucinations; formal thought disorder with neologisms; irritability, psychomotor activation, disturbed sleep, and poor cooperation. Cannabis and nicotine use may be contributing/confounding factors. He is currently receiving clozapine 300 mg and has had 12 ECT sessions.</t>
        </is>
      </c>
      <c r="F92" s="6" t="inlineStr">
        <is>
          <t>Management:
- Confirm timeline carefully, including onset relative to cannabis use, intoxication, withdrawal, and any prior psychotic or mood symptoms.
- Assess for substance-induced psychosis, bipolar disorder with psychotic features, and medical/neurologic causes of first-episode psychosis.
- Continue close monitoring of safety, agitation, sleep, nutrition, hydration, and suicide/violence risk.
- Review clozapine adherence, dose adequacy, side effects, ANC monitoring, and whether serum levels are indicated.
- Coordinate treatment for cannabis use and nicotine dependence; recommend abstinence from cannabis.
- Reassess response to ECT and antipsychotic therapy; consider specialist early psychosis follow-up.
- If psychosis persists beyond 6 months, revise diagnosis toward schizophrenia.</t>
        </is>
      </c>
      <c r="G92" s="2" t="inlineStr">
        <is>
          <t>affective synchrony deviation metric</t>
        </is>
      </c>
      <c r="H92" s="4" t="inlineStr"/>
      <c r="I92" s="5" t="inlineStr"/>
    </row>
    <row r="93" ht="80" customHeight="1">
      <c r="A93" s="2" t="n">
        <v>181</v>
      </c>
      <c r="B93" s="2" t="inlineStr">
        <is>
          <t>batch3b_50__42</t>
        </is>
      </c>
      <c r="C93" s="2" t="inlineStr">
        <is>
          <t>long</t>
        </is>
      </c>
      <c r="D93" s="3" t="inlineStr">
        <is>
          <t>Major Depressive Disorder</t>
        </is>
      </c>
      <c r="E93" s="3" t="inlineStr">
        <is>
          <t>A 74-year-old male presents with a duration of 8 years and an onset that is subacute. His core symptoms include low mood, loss of appetite, decreased interest, and suicidal ideation, as well as disturbed sleep, low energy, decreased motivation to work, and low self-esteem.</t>
        </is>
      </c>
      <c r="F93" s="3" t="inlineStr">
        <is>
          <t>Management:
- Continue Sertraline treatment
- Monitor for suicidal ideation
- Refer to a therapist for cognitive-behavioral therapy
- Encourage social support and self-care activities</t>
        </is>
      </c>
      <c r="G93" s="2" t="inlineStr">
        <is>
          <t>social role performance index</t>
        </is>
      </c>
      <c r="H93" s="4" t="inlineStr"/>
      <c r="I93" s="5" t="inlineStr"/>
    </row>
    <row r="94" ht="80" customHeight="1">
      <c r="A94" s="2" t="n">
        <v>4</v>
      </c>
      <c r="B94" s="2" t="inlineStr">
        <is>
          <t>batch1_50__27</t>
        </is>
      </c>
      <c r="C94" s="2" t="inlineStr">
        <is>
          <t>long</t>
        </is>
      </c>
      <c r="D94" s="6" t="inlineStr">
        <is>
          <t>Major Depressive Disorder</t>
        </is>
      </c>
      <c r="E94" s="6"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F94" s="6" t="inlineStr">
        <is>
          <t>Management:
- Continue current treatment regimen
- Monitor for side effects and adjust medications as needed
- Consider adding psychotherapy to treatment plan</t>
        </is>
      </c>
      <c r="G94" s="2" t="inlineStr">
        <is>
          <t>behavioral inhibition failure score</t>
        </is>
      </c>
      <c r="H94" s="4" t="inlineStr"/>
      <c r="I94" s="5" t="inlineStr"/>
    </row>
    <row r="95" ht="80" customHeight="1">
      <c r="A95" s="2" t="n">
        <v>26</v>
      </c>
      <c r="B95" s="2" t="inlineStr">
        <is>
          <t>batch3b_50__38</t>
        </is>
      </c>
      <c r="C95" s="2" t="inlineStr">
        <is>
          <t>long</t>
        </is>
      </c>
      <c r="D95" s="3" t="inlineStr">
        <is>
          <t>Bipolar I Disorder, current episode manic, with psychotic features (given the severity requiring ECT and antipsychotic augmentation).</t>
        </is>
      </c>
      <c r="E95" s="3" t="inlineStr">
        <is>
          <t>21-year-old male with a 2-year history of recurrent episodes characterized by elevated mood, grandiosity, decreased need for sleep, increased goal-directed activity, and psychomotor agitation. Currently managed with mood stabilizers, antipsychotics, and ECT.</t>
        </is>
      </c>
      <c r="F95" s="3"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G95" s="2" t="inlineStr">
        <is>
          <t>frontal lobe reactivity pattern</t>
        </is>
      </c>
      <c r="H95" s="4" t="inlineStr"/>
      <c r="I95" s="5" t="inlineStr"/>
    </row>
    <row r="96" ht="80" customHeight="1">
      <c r="A96" s="2" t="n">
        <v>207</v>
      </c>
      <c r="B96" s="2" t="inlineStr">
        <is>
          <t>batch3b_50__25</t>
        </is>
      </c>
      <c r="C96" s="2" t="inlineStr">
        <is>
          <t>long</t>
        </is>
      </c>
      <c r="D96" s="6" t="inlineStr">
        <is>
          <t>Major Depressive Disorder</t>
        </is>
      </c>
      <c r="E96" s="6" t="inlineStr">
        <is>
          <t>A 26-year-old female presenting with a history of symptoms lasting 11 years, with a subacute onset, experiencing suicidal attempt, persistent low mood, feelings of worthlessness, restlessness, decreased self-confidence, and diminished self-esteem.</t>
        </is>
      </c>
      <c r="F96" s="6" t="inlineStr">
        <is>
          <t>Management:
- Monitor suicidal ideation closely
- Adjust medication regimen as needed
- Consider counseling for substance dependence
- Regularly assess risk escalation</t>
        </is>
      </c>
      <c r="G96" s="2" t="inlineStr">
        <is>
          <t>dangerousness escalation slope</t>
        </is>
      </c>
      <c r="H96" s="4" t="inlineStr"/>
      <c r="I96" s="5" t="inlineStr"/>
    </row>
    <row r="97" ht="80" customHeight="1">
      <c r="A97" s="2" t="n">
        <v>251</v>
      </c>
      <c r="B97" s="2" t="inlineStr">
        <is>
          <t>batch2b_50__49</t>
        </is>
      </c>
      <c r="C97" s="2" t="inlineStr">
        <is>
          <t>long</t>
        </is>
      </c>
      <c r="D97" s="3" t="inlineStr">
        <is>
          <t>Persistent Depressive Disorder (Dysthymia) with comorbid Alcohol Use Disorder</t>
        </is>
      </c>
      <c r="E97" s="3" t="inlineStr">
        <is>
          <t>40-year-old male with a 20-year history of chronic low mood, anhedonia, fatigue, and cognitive impairment, complicated by alcohol use disorder (cravings, tolerance, withdrawal) and a recent change in alcohol consumption. Currently managed with fluoxetine, lorazepam, thiamine, and pantoprazole.</t>
        </is>
      </c>
      <c r="F97" s="3" t="inlineStr">
        <is>
          <t>Management:
- Conduct a comprehensive substance use assessment to evaluate the severity of alcohol use disorder and risk of withdrawal.
- Review the appropriateness of long-term benzodiazepine (lorazepam) use, considering the risks of dependence and interaction with alcohol.
- Monitor for potential drug-drug interactions between fluoxetine and alcohol.
- Assess for Persistent Depressive Disorder (Dysthymia) given the 20-year duration of symptoms.
- Continue monitoring for adverse reactions using the specified interval index.
- Consider referral to a specialized addiction psychiatry service.</t>
        </is>
      </c>
      <c r="G97" s="2" t="inlineStr">
        <is>
          <t>adverse reaction monitoring interval index</t>
        </is>
      </c>
      <c r="H97" s="4" t="inlineStr"/>
      <c r="I97" s="5" t="inlineStr"/>
    </row>
    <row r="98" ht="80" customHeight="1">
      <c r="A98" s="2" t="n">
        <v>278</v>
      </c>
      <c r="B98" s="2" t="inlineStr">
        <is>
          <t>batch3a_50__25</t>
        </is>
      </c>
      <c r="C98" s="2" t="inlineStr">
        <is>
          <t>short</t>
        </is>
      </c>
      <c r="D98" s="6" t="inlineStr">
        <is>
          <t>Bipolar I Disorder, Current Episode Manic with Catatonic Features (likely secondary to immunotherapy or medical comorbidity)</t>
        </is>
      </c>
      <c r="E98" s="6"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F98" s="6"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G98" s="2" t="inlineStr">
        <is>
          <t>therapeutic efficacy decay index</t>
        </is>
      </c>
      <c r="H98" s="4" t="inlineStr"/>
      <c r="I98" s="5" t="inlineStr"/>
    </row>
    <row r="99" ht="80" customHeight="1">
      <c r="A99" s="2" t="n">
        <v>225</v>
      </c>
      <c r="B99" s="2" t="inlineStr">
        <is>
          <t>batch2a_50__2</t>
        </is>
      </c>
      <c r="C99" s="2" t="inlineStr">
        <is>
          <t>short</t>
        </is>
      </c>
      <c r="D99" s="3" t="inlineStr">
        <is>
          <t>Dissociative amnesia (stress-related autobiographical retrograde amnesia; generalized type more likely than localized), precipitated by bereavement</t>
        </is>
      </c>
      <c r="E99" s="3" t="inlineStr">
        <is>
          <t>17-year-old female with abrupt retrograde autobiographical memory loss affecting the prior 8 years, beginning after bereavement (death of grandmother) and persisting for 2 years, with no reported prior psychiatric history.</t>
        </is>
      </c>
      <c r="F99" s="3" t="inlineStr">
        <is>
          <t>Management:
- Confirm the amnestic syndrome with a detailed psychiatric interview, collateral history, and mental status examination.
- Rule out neurological and substance/medication causes of memory loss with appropriate neurologic exam and targeted workup if indicated (for example, seizure disorder, head injury, sleep disorder, or other cognitive disorders).
- Assess for comorbid trauma-related symptoms, depression, anxiety, self-harm risk, and current psychosocial stressors.
- Primary treatment should be supportive psychotherapy and trauma-informed therapy; consider cognitive/grounding strategies and gradual recovery of autobiographical memory without forcing recall.
- Review the necessity, dose, and adverse effects of current psychotropics; use medications only for clearly identified comorbid symptoms, and avoid unnecessary polypharmacy.
- Involve family/caregivers with consent, provide psychoeducation about dissociative amnesia, and arrange close follow-up with child/adolescent psychiatry.</t>
        </is>
      </c>
      <c r="G99" s="2" t="inlineStr">
        <is>
          <t>medication titration responsiveness index</t>
        </is>
      </c>
      <c r="H99" s="4" t="inlineStr"/>
      <c r="I99" s="5" t="inlineStr"/>
    </row>
    <row r="100" ht="80" customHeight="1">
      <c r="A100" s="2" t="n">
        <v>383</v>
      </c>
      <c r="B100" s="2" t="inlineStr">
        <is>
          <t>batch4a_50__36</t>
        </is>
      </c>
      <c r="C100" s="2" t="inlineStr">
        <is>
          <t>short</t>
        </is>
      </c>
      <c r="D100" s="6" t="inlineStr">
        <is>
          <t>Schizophrenia with catatonic features (catatonic schizophrenia phenotype)</t>
        </is>
      </c>
      <c r="E100" s="6" t="inlineStr">
        <is>
          <t>37-year-old man with an 18-year chronic psychiatric illness beginning with acute onset, characterized by mutism, non-goal-directed activity, wandering behavior, and sleep disturbance, with persistent functional impairment and current symptomatic management on risperidone. The clinical picture is most consistent with a schizophrenia-spectrum disorder with catatonic features.</t>
        </is>
      </c>
      <c r="F100" s="6" t="inlineStr">
        <is>
          <t>Management:
- Continue risperidone if it remains effective and tolerated.
- Assess current catatonic symptoms systematically and document severity.
- If catatonia is active, consider a benzodiazepine challenge and monitor response.
- Monitor for antipsychotic adverse effects, including extrapyramidal symptoms and metabolic syndrome.
- If symptoms are refractory or severe, consider electroconvulsive therapy evaluation.
- Ensure basic safety, hydration, nutrition, sleep stabilization, and monitoring for medical causes of decompensation.</t>
        </is>
      </c>
      <c r="G100" s="2" t="inlineStr">
        <is>
          <t>affective reactivity pattern</t>
        </is>
      </c>
      <c r="H100" s="4" t="inlineStr"/>
      <c r="I100" s="5" t="inlineStr"/>
    </row>
    <row r="101" ht="80" customHeight="1">
      <c r="A101" s="2" t="n">
        <v>223</v>
      </c>
      <c r="B101" s="2" t="inlineStr">
        <is>
          <t>batch2a_50__39</t>
        </is>
      </c>
      <c r="C101" s="2" t="inlineStr">
        <is>
          <t>short</t>
        </is>
      </c>
      <c r="D101" s="3" t="inlineStr">
        <is>
          <t>Schizophrenia Spectrum Disorder (likely Schizophrenia with paranoid features)</t>
        </is>
      </c>
      <c r="E101" s="3"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F101" s="3"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G101" s="2" t="inlineStr">
        <is>
          <t>multidisciplinary review timing index</t>
        </is>
      </c>
      <c r="H101" s="4" t="inlineStr"/>
      <c r="I101" s="5" t="inlineStr"/>
    </row>
    <row r="102">
      <c r="A102" s="2" t="n">
        <v>104</v>
      </c>
      <c r="B102" s="2" t="inlineStr">
        <is>
          <t>batch4a_50__47</t>
        </is>
      </c>
      <c r="C102" s="2" t="inlineStr">
        <is>
          <t>long</t>
        </is>
      </c>
      <c r="D102" s="6" t="inlineStr">
        <is>
          <t>Somatic Symptom Disorder (with predominant somatic complaints)</t>
        </is>
      </c>
      <c r="E102" s="6" t="inlineStr">
        <is>
          <t>33-year-old male with 12-year history of somatic complaints (chest discomfort, sore throat, leg pain) accompanied by persistent preoccupation regarding the severity of these symptoms, causing functional impairment. Current medication includes Amisulpride, Imipramine, Pregabalin, and Clonazepam.</t>
        </is>
      </c>
      <c r="F102" s="6" t="inlineStr">
        <is>
          <t>Management:
- Conduct a comprehensive physical examination and relevant diagnostic testing (if not recently completed) to rule out occult organic pathology.
- Evaluate for Illness Anxiety Disorder or Somatic Symptom Disorder via semi-structured clinical interview (e.g., DSM-5-TR criteria).
- Assess for comorbid anxiety and depressive disorders, given the current pharmacological regimen.
- Review the long-term appropriateness of the current medication regimen, specifically the use of Clonazepam (risk of dependency/tolerance) and polypharmacy.
- Consider transitioning to Cognitive Behavioral Therapy (CBT) for somatic symptom disorders.
- Monitor community participation levels as a functional outcome measure.</t>
        </is>
      </c>
      <c r="G102" s="2" t="inlineStr">
        <is>
          <t>community participation consistency index</t>
        </is>
      </c>
      <c r="H102" s="4" t="inlineStr"/>
      <c r="I102" s="5"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2026-06-06T04:37:15Z</dcterms:created>
  <dcterms:modified xmlns:dcterms="http://purl.org/dc/terms/" xmlns:xsi="http://www.w3.org/2001/XMLSchema-instance" xsi:type="dcterms:W3CDTF">2026-06-06T04:37:15Z</dcterms:modified>
</cp:coreProperties>
</file>